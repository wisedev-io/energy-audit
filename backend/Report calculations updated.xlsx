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kamoliddinrasulov/Desktop/Audit xulosalar/"/>
    </mc:Choice>
  </mc:AlternateContent>
  <xr:revisionPtr revIDLastSave="0" documentId="13_ncr:1_{487D28EA-42EC-DD46-8D83-099AE64FCAAA}" xr6:coauthVersionLast="47" xr6:coauthVersionMax="47" xr10:uidLastSave="{00000000-0000-0000-0000-000000000000}"/>
  <bookViews>
    <workbookView xWindow="0" yWindow="660" windowWidth="34560" windowHeight="20020" xr2:uid="{00000000-000D-0000-FFFF-FFFF00000000}"/>
  </bookViews>
  <sheets>
    <sheet name="Main" sheetId="10" r:id="rId1"/>
    <sheet name="Area_calc" sheetId="17" r:id="rId2"/>
    <sheet name="Energy_calc" sheetId="20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114" i="10" l="1"/>
  <c r="B4" i="20"/>
  <c r="C4" i="20" s="1"/>
  <c r="F4" i="20"/>
  <c r="G4" i="20" s="1"/>
  <c r="B5" i="20"/>
  <c r="C5" i="20" s="1"/>
  <c r="F5" i="20"/>
  <c r="G5" i="20" s="1"/>
  <c r="B6" i="20"/>
  <c r="C6" i="20" s="1"/>
  <c r="F6" i="20"/>
  <c r="H6" i="20" s="1"/>
  <c r="B7" i="20"/>
  <c r="C7" i="20" s="1"/>
  <c r="F7" i="20"/>
  <c r="G7" i="20" s="1"/>
  <c r="B8" i="20"/>
  <c r="C8" i="20" s="1"/>
  <c r="F8" i="20"/>
  <c r="G8" i="20" s="1"/>
  <c r="B9" i="20"/>
  <c r="C9" i="20" s="1"/>
  <c r="F9" i="20"/>
  <c r="G9" i="20" s="1"/>
  <c r="B10" i="20"/>
  <c r="C10" i="20" s="1"/>
  <c r="F10" i="20"/>
  <c r="G10" i="20" s="1"/>
  <c r="B11" i="20"/>
  <c r="C11" i="20" s="1"/>
  <c r="F11" i="20"/>
  <c r="G11" i="20" s="1"/>
  <c r="B12" i="20"/>
  <c r="C12" i="20" s="1"/>
  <c r="F12" i="20"/>
  <c r="G12" i="20" s="1"/>
  <c r="B13" i="20"/>
  <c r="C13" i="20" s="1"/>
  <c r="F13" i="20"/>
  <c r="G13" i="20" s="1"/>
  <c r="B14" i="20"/>
  <c r="C14" i="20" s="1"/>
  <c r="F14" i="20"/>
  <c r="G14" i="20" s="1"/>
  <c r="B15" i="20"/>
  <c r="C15" i="20" s="1"/>
  <c r="F15" i="20"/>
  <c r="G15" i="20" s="1"/>
  <c r="A33" i="17"/>
  <c r="C33" i="17" s="1"/>
  <c r="C32" i="17"/>
  <c r="C31" i="17"/>
  <c r="H30" i="17"/>
  <c r="H29" i="17"/>
  <c r="H28" i="17"/>
  <c r="H27" i="17"/>
  <c r="C27" i="17"/>
  <c r="A27" i="17"/>
  <c r="H26" i="17"/>
  <c r="C26" i="17"/>
  <c r="H25" i="17"/>
  <c r="C25" i="17"/>
  <c r="H24" i="17"/>
  <c r="H31" i="17" s="1"/>
  <c r="A24" i="17"/>
  <c r="C24" i="17" s="1"/>
  <c r="H23" i="17"/>
  <c r="C23" i="17"/>
  <c r="H22" i="17"/>
  <c r="C22" i="17"/>
  <c r="H21" i="17"/>
  <c r="A21" i="17"/>
  <c r="C21" i="17" s="1"/>
  <c r="H20" i="17"/>
  <c r="C20" i="17"/>
  <c r="H19" i="17"/>
  <c r="C19" i="17"/>
  <c r="H14" i="17"/>
  <c r="C14" i="17"/>
  <c r="H13" i="17"/>
  <c r="C13" i="17"/>
  <c r="H12" i="17"/>
  <c r="C12" i="17"/>
  <c r="H11" i="17"/>
  <c r="C11" i="17"/>
  <c r="H10" i="17"/>
  <c r="C10" i="17"/>
  <c r="H9" i="17"/>
  <c r="C9" i="17"/>
  <c r="H8" i="17"/>
  <c r="C8" i="17"/>
  <c r="H7" i="17"/>
  <c r="C7" i="17"/>
  <c r="H6" i="17"/>
  <c r="C6" i="17"/>
  <c r="H5" i="17"/>
  <c r="C5" i="17"/>
  <c r="H4" i="17"/>
  <c r="C4" i="17"/>
  <c r="H3" i="17"/>
  <c r="H15" i="17" s="1"/>
  <c r="C3" i="17"/>
  <c r="C15" i="17" s="1"/>
  <c r="B36" i="17" s="1"/>
  <c r="H8" i="20" l="1"/>
  <c r="G6" i="20"/>
  <c r="H12" i="20"/>
  <c r="H14" i="20"/>
  <c r="H10" i="20"/>
  <c r="H4" i="20"/>
  <c r="C34" i="17"/>
  <c r="H15" i="20"/>
  <c r="H13" i="20"/>
  <c r="H11" i="20"/>
  <c r="H9" i="20"/>
  <c r="H7" i="20"/>
  <c r="H5" i="20"/>
  <c r="R79" i="10"/>
  <c r="B76" i="20"/>
  <c r="H76" i="20" s="1"/>
  <c r="B77" i="20"/>
  <c r="C77" i="20" s="1"/>
  <c r="B78" i="20"/>
  <c r="E78" i="20" s="1"/>
  <c r="B79" i="20"/>
  <c r="F79" i="20" s="1"/>
  <c r="B80" i="20"/>
  <c r="C80" i="20" s="1"/>
  <c r="B81" i="20"/>
  <c r="G81" i="20" s="1"/>
  <c r="B82" i="20"/>
  <c r="G82" i="20" s="1"/>
  <c r="B83" i="20"/>
  <c r="E83" i="20" s="1"/>
  <c r="B84" i="20"/>
  <c r="C84" i="20" s="1"/>
  <c r="B85" i="20"/>
  <c r="C85" i="20" s="1"/>
  <c r="B86" i="20"/>
  <c r="G86" i="20" s="1"/>
  <c r="B75" i="20"/>
  <c r="D75" i="20" s="1"/>
  <c r="W52" i="20"/>
  <c r="E56" i="10" s="1"/>
  <c r="W53" i="20"/>
  <c r="X53" i="20" s="1"/>
  <c r="F57" i="10" s="1"/>
  <c r="W54" i="20"/>
  <c r="X54" i="20" s="1"/>
  <c r="F58" i="10" s="1"/>
  <c r="W55" i="20"/>
  <c r="X55" i="20" s="1"/>
  <c r="F59" i="10" s="1"/>
  <c r="W56" i="20"/>
  <c r="X56" i="20" s="1"/>
  <c r="F60" i="10" s="1"/>
  <c r="W57" i="20"/>
  <c r="E61" i="10" s="1"/>
  <c r="W58" i="20"/>
  <c r="X58" i="20" s="1"/>
  <c r="F62" i="10" s="1"/>
  <c r="W59" i="20"/>
  <c r="X59" i="20" s="1"/>
  <c r="F63" i="10" s="1"/>
  <c r="W60" i="20"/>
  <c r="X60" i="20" s="1"/>
  <c r="F64" i="10" s="1"/>
  <c r="W61" i="20"/>
  <c r="X61" i="20" s="1"/>
  <c r="F65" i="10" s="1"/>
  <c r="W62" i="20"/>
  <c r="E66" i="10" s="1"/>
  <c r="W51" i="20"/>
  <c r="Y51" i="20" s="1"/>
  <c r="L52" i="20"/>
  <c r="O52" i="20" s="1"/>
  <c r="L53" i="20"/>
  <c r="P53" i="20" s="1"/>
  <c r="L54" i="20"/>
  <c r="M54" i="20" s="1"/>
  <c r="D58" i="10" s="1"/>
  <c r="L55" i="20"/>
  <c r="C59" i="10" s="1"/>
  <c r="L56" i="20"/>
  <c r="M56" i="20" s="1"/>
  <c r="D60" i="10" s="1"/>
  <c r="L57" i="20"/>
  <c r="R57" i="20" s="1"/>
  <c r="L58" i="20"/>
  <c r="P58" i="20" s="1"/>
  <c r="L59" i="20"/>
  <c r="P59" i="20" s="1"/>
  <c r="L60" i="20"/>
  <c r="M60" i="20" s="1"/>
  <c r="D64" i="10" s="1"/>
  <c r="L61" i="20"/>
  <c r="M61" i="20" s="1"/>
  <c r="D65" i="10" s="1"/>
  <c r="L62" i="20"/>
  <c r="P62" i="20" s="1"/>
  <c r="L51" i="20"/>
  <c r="R51" i="20" s="1"/>
  <c r="B52" i="20"/>
  <c r="C52" i="20" s="1"/>
  <c r="B53" i="20"/>
  <c r="G53" i="20" s="1"/>
  <c r="B54" i="20"/>
  <c r="C54" i="20" s="1"/>
  <c r="B55" i="20"/>
  <c r="H55" i="20" s="1"/>
  <c r="B56" i="20"/>
  <c r="C56" i="20" s="1"/>
  <c r="B57" i="20"/>
  <c r="F57" i="20" s="1"/>
  <c r="B58" i="20"/>
  <c r="B62" i="10" s="1"/>
  <c r="B59" i="20"/>
  <c r="D59" i="20" s="1"/>
  <c r="B60" i="20"/>
  <c r="H60" i="20" s="1"/>
  <c r="B61" i="20"/>
  <c r="E61" i="20" s="1"/>
  <c r="B62" i="20"/>
  <c r="D62" i="20" s="1"/>
  <c r="B51" i="20"/>
  <c r="G51" i="20" s="1"/>
  <c r="W27" i="20"/>
  <c r="X27" i="20" s="1"/>
  <c r="F37" i="10" s="1"/>
  <c r="W28" i="20"/>
  <c r="Y28" i="20" s="1"/>
  <c r="W29" i="20"/>
  <c r="Y29" i="20" s="1"/>
  <c r="W30" i="20"/>
  <c r="E40" i="10" s="1"/>
  <c r="W31" i="20"/>
  <c r="X31" i="20" s="1"/>
  <c r="F41" i="10" s="1"/>
  <c r="W32" i="20"/>
  <c r="E42" i="10" s="1"/>
  <c r="W33" i="20"/>
  <c r="X33" i="20" s="1"/>
  <c r="F43" i="10" s="1"/>
  <c r="W34" i="20"/>
  <c r="Y34" i="20" s="1"/>
  <c r="W35" i="20"/>
  <c r="Y35" i="20" s="1"/>
  <c r="W36" i="20"/>
  <c r="X36" i="20" s="1"/>
  <c r="F46" i="10" s="1"/>
  <c r="W37" i="20"/>
  <c r="X37" i="20" s="1"/>
  <c r="F47" i="10" s="1"/>
  <c r="W26" i="20"/>
  <c r="X26" i="20" s="1"/>
  <c r="F36" i="10" s="1"/>
  <c r="L27" i="20"/>
  <c r="M27" i="20" s="1"/>
  <c r="L28" i="20"/>
  <c r="C38" i="10" s="1"/>
  <c r="L29" i="20"/>
  <c r="C39" i="10" s="1"/>
  <c r="L30" i="20"/>
  <c r="S30" i="20" s="1"/>
  <c r="L31" i="20"/>
  <c r="M31" i="20" s="1"/>
  <c r="D41" i="10" s="1"/>
  <c r="L32" i="20"/>
  <c r="Q32" i="20" s="1"/>
  <c r="L33" i="20"/>
  <c r="R33" i="20" s="1"/>
  <c r="L34" i="20"/>
  <c r="O34" i="20" s="1"/>
  <c r="L35" i="20"/>
  <c r="S35" i="20" s="1"/>
  <c r="L36" i="20"/>
  <c r="M36" i="20" s="1"/>
  <c r="D46" i="10" s="1"/>
  <c r="L37" i="20"/>
  <c r="O37" i="20" s="1"/>
  <c r="L26" i="20"/>
  <c r="C36" i="10" s="1"/>
  <c r="B27" i="20"/>
  <c r="C27" i="20" s="1"/>
  <c r="H27" i="20" s="1"/>
  <c r="B28" i="20"/>
  <c r="B38" i="10" s="1"/>
  <c r="B29" i="20"/>
  <c r="C29" i="20" s="1"/>
  <c r="H29" i="20" s="1"/>
  <c r="B30" i="20"/>
  <c r="G30" i="20" s="1"/>
  <c r="B31" i="20"/>
  <c r="G31" i="20" s="1"/>
  <c r="B32" i="20"/>
  <c r="G32" i="20" s="1"/>
  <c r="B33" i="20"/>
  <c r="G33" i="20" s="1"/>
  <c r="B34" i="20"/>
  <c r="G34" i="20" s="1"/>
  <c r="B35" i="20"/>
  <c r="E35" i="20" s="1"/>
  <c r="B36" i="20"/>
  <c r="G36" i="20" s="1"/>
  <c r="B37" i="20"/>
  <c r="C37" i="20" s="1"/>
  <c r="B26" i="20"/>
  <c r="B36" i="10" s="1"/>
  <c r="W5" i="20"/>
  <c r="Y5" i="20" s="1"/>
  <c r="W6" i="20"/>
  <c r="X6" i="20" s="1"/>
  <c r="W7" i="20"/>
  <c r="X7" i="20" s="1"/>
  <c r="W8" i="20"/>
  <c r="W9" i="20"/>
  <c r="Y9" i="20" s="1"/>
  <c r="W10" i="20"/>
  <c r="X10" i="20" s="1"/>
  <c r="W11" i="20"/>
  <c r="X11" i="20" s="1"/>
  <c r="W12" i="20"/>
  <c r="X12" i="20" s="1"/>
  <c r="W13" i="20"/>
  <c r="X13" i="20" s="1"/>
  <c r="W14" i="20"/>
  <c r="Y14" i="20" s="1"/>
  <c r="W15" i="20"/>
  <c r="X15" i="20" s="1"/>
  <c r="W4" i="20"/>
  <c r="X4" i="20" s="1"/>
  <c r="D18" i="10"/>
  <c r="C19" i="10"/>
  <c r="C20" i="10"/>
  <c r="C22" i="10"/>
  <c r="C24" i="10"/>
  <c r="D27" i="10"/>
  <c r="D28" i="10"/>
  <c r="D17" i="10"/>
  <c r="B18" i="10"/>
  <c r="B19" i="10"/>
  <c r="B20" i="10"/>
  <c r="B21" i="10"/>
  <c r="B22" i="10"/>
  <c r="B28" i="10"/>
  <c r="G76" i="20"/>
  <c r="P26" i="20"/>
  <c r="Q26" i="20"/>
  <c r="R26" i="20"/>
  <c r="S26" i="20"/>
  <c r="P27" i="20"/>
  <c r="Q27" i="20"/>
  <c r="R27" i="20"/>
  <c r="S27" i="20"/>
  <c r="P28" i="20"/>
  <c r="Q28" i="20"/>
  <c r="R28" i="20"/>
  <c r="S28" i="20"/>
  <c r="P29" i="20"/>
  <c r="Q29" i="20"/>
  <c r="R29" i="20"/>
  <c r="S29" i="20"/>
  <c r="F17" i="10"/>
  <c r="F18" i="10"/>
  <c r="F19" i="10"/>
  <c r="F20" i="10"/>
  <c r="F21" i="10"/>
  <c r="F22" i="10"/>
  <c r="F23" i="10"/>
  <c r="F24" i="10"/>
  <c r="F25" i="10"/>
  <c r="F26" i="10"/>
  <c r="F27" i="10"/>
  <c r="F28" i="10"/>
  <c r="E29" i="10"/>
  <c r="H86" i="20" l="1"/>
  <c r="D86" i="20"/>
  <c r="C86" i="20"/>
  <c r="Y60" i="20"/>
  <c r="P37" i="20"/>
  <c r="B45" i="10"/>
  <c r="X29" i="20"/>
  <c r="F39" i="10" s="1"/>
  <c r="G35" i="20"/>
  <c r="Q37" i="20"/>
  <c r="C47" i="10"/>
  <c r="H75" i="20"/>
  <c r="G75" i="20"/>
  <c r="C37" i="10"/>
  <c r="D76" i="20"/>
  <c r="E36" i="10"/>
  <c r="C76" i="20"/>
  <c r="F75" i="20"/>
  <c r="B55" i="10"/>
  <c r="F35" i="20"/>
  <c r="E77" i="20"/>
  <c r="D77" i="20"/>
  <c r="H77" i="20"/>
  <c r="E75" i="20"/>
  <c r="G77" i="20"/>
  <c r="O59" i="20"/>
  <c r="M59" i="20"/>
  <c r="D63" i="10" s="1"/>
  <c r="Y33" i="20"/>
  <c r="M26" i="20"/>
  <c r="D36" i="10" s="1"/>
  <c r="G36" i="10" s="1"/>
  <c r="O28" i="20"/>
  <c r="T28" i="20" s="1"/>
  <c r="D57" i="20"/>
  <c r="B58" i="10"/>
  <c r="G58" i="10" s="1"/>
  <c r="M28" i="20"/>
  <c r="D38" i="10" s="1"/>
  <c r="C57" i="20"/>
  <c r="E37" i="10"/>
  <c r="D78" i="20"/>
  <c r="C36" i="20"/>
  <c r="O26" i="20"/>
  <c r="T26" i="20" s="1"/>
  <c r="E64" i="10"/>
  <c r="D35" i="20"/>
  <c r="F86" i="20"/>
  <c r="F76" i="20"/>
  <c r="C35" i="20"/>
  <c r="O27" i="20"/>
  <c r="T27" i="20" s="1"/>
  <c r="H56" i="20"/>
  <c r="E86" i="20"/>
  <c r="E76" i="20"/>
  <c r="S37" i="20"/>
  <c r="G56" i="20"/>
  <c r="B60" i="10"/>
  <c r="G60" i="10" s="1"/>
  <c r="R37" i="20"/>
  <c r="E39" i="10"/>
  <c r="M37" i="20"/>
  <c r="D47" i="10" s="1"/>
  <c r="B66" i="10"/>
  <c r="Q54" i="20"/>
  <c r="B37" i="10"/>
  <c r="H62" i="20"/>
  <c r="C58" i="10"/>
  <c r="B47" i="10"/>
  <c r="O29" i="20"/>
  <c r="T29" i="20" s="1"/>
  <c r="Y62" i="20"/>
  <c r="X62" i="20"/>
  <c r="F66" i="10" s="1"/>
  <c r="C66" i="10"/>
  <c r="E43" i="10"/>
  <c r="E58" i="10"/>
  <c r="D53" i="20"/>
  <c r="H54" i="20"/>
  <c r="H84" i="20"/>
  <c r="D20" i="10"/>
  <c r="G20" i="10" s="1"/>
  <c r="M29" i="20"/>
  <c r="D39" i="10" s="1"/>
  <c r="F58" i="20"/>
  <c r="E58" i="20"/>
  <c r="S53" i="20"/>
  <c r="E47" i="10"/>
  <c r="D36" i="20"/>
  <c r="R52" i="20"/>
  <c r="B56" i="10"/>
  <c r="D25" i="10"/>
  <c r="O33" i="20"/>
  <c r="G58" i="20"/>
  <c r="E53" i="20"/>
  <c r="Q62" i="20"/>
  <c r="X34" i="20"/>
  <c r="F44" i="10" s="1"/>
  <c r="X52" i="20"/>
  <c r="F56" i="10" s="1"/>
  <c r="F52" i="20"/>
  <c r="F77" i="20"/>
  <c r="C53" i="20"/>
  <c r="F51" i="20"/>
  <c r="E51" i="20"/>
  <c r="S34" i="20"/>
  <c r="G62" i="20"/>
  <c r="D51" i="20"/>
  <c r="P51" i="20"/>
  <c r="E57" i="10"/>
  <c r="E37" i="20"/>
  <c r="Q33" i="20"/>
  <c r="C62" i="20"/>
  <c r="G54" i="20"/>
  <c r="S62" i="20"/>
  <c r="Y37" i="20"/>
  <c r="Y53" i="20"/>
  <c r="G84" i="20"/>
  <c r="C75" i="20"/>
  <c r="C43" i="10"/>
  <c r="F37" i="20"/>
  <c r="C28" i="20"/>
  <c r="H28" i="20" s="1"/>
  <c r="S33" i="20"/>
  <c r="F62" i="20"/>
  <c r="C51" i="20"/>
  <c r="X14" i="20"/>
  <c r="C56" i="10"/>
  <c r="F36" i="20"/>
  <c r="C26" i="20"/>
  <c r="H26" i="20" s="1"/>
  <c r="P33" i="20"/>
  <c r="H58" i="20"/>
  <c r="F53" i="20"/>
  <c r="R62" i="20"/>
  <c r="Y52" i="20"/>
  <c r="F84" i="20"/>
  <c r="F29" i="10"/>
  <c r="Y55" i="20"/>
  <c r="O51" i="20"/>
  <c r="E59" i="10"/>
  <c r="B39" i="10"/>
  <c r="C61" i="20"/>
  <c r="Y4" i="20"/>
  <c r="C78" i="20"/>
  <c r="E44" i="10"/>
  <c r="B59" i="10"/>
  <c r="B26" i="10"/>
  <c r="C18" i="10"/>
  <c r="F60" i="20"/>
  <c r="D55" i="20"/>
  <c r="S54" i="20"/>
  <c r="M52" i="20"/>
  <c r="D56" i="10" s="1"/>
  <c r="G37" i="20"/>
  <c r="R36" i="20"/>
  <c r="E60" i="20"/>
  <c r="R54" i="20"/>
  <c r="S51" i="20"/>
  <c r="B65" i="10"/>
  <c r="G65" i="10" s="1"/>
  <c r="Q51" i="20"/>
  <c r="Q53" i="20"/>
  <c r="M51" i="20"/>
  <c r="D55" i="10" s="1"/>
  <c r="O53" i="20"/>
  <c r="B64" i="10"/>
  <c r="G64" i="10" s="1"/>
  <c r="E55" i="10"/>
  <c r="C42" i="10"/>
  <c r="M33" i="20"/>
  <c r="D43" i="10" s="1"/>
  <c r="H61" i="20"/>
  <c r="H52" i="20"/>
  <c r="R60" i="20"/>
  <c r="M53" i="20"/>
  <c r="D57" i="10" s="1"/>
  <c r="Y13" i="20"/>
  <c r="Y27" i="20"/>
  <c r="X51" i="20"/>
  <c r="F55" i="10" s="1"/>
  <c r="D84" i="20"/>
  <c r="R53" i="20"/>
  <c r="C55" i="10"/>
  <c r="P32" i="20"/>
  <c r="D61" i="20"/>
  <c r="G52" i="20"/>
  <c r="S52" i="20"/>
  <c r="X5" i="20"/>
  <c r="H78" i="20"/>
  <c r="C44" i="10"/>
  <c r="E84" i="20"/>
  <c r="D19" i="10"/>
  <c r="G19" i="10" s="1"/>
  <c r="R35" i="20"/>
  <c r="F54" i="20"/>
  <c r="C55" i="20"/>
  <c r="P57" i="20"/>
  <c r="P36" i="20"/>
  <c r="B17" i="10"/>
  <c r="G17" i="10" s="1"/>
  <c r="O35" i="20"/>
  <c r="F61" i="20"/>
  <c r="D54" i="20"/>
  <c r="H51" i="20"/>
  <c r="M62" i="20"/>
  <c r="D66" i="10" s="1"/>
  <c r="O54" i="20"/>
  <c r="P52" i="20"/>
  <c r="Y6" i="20"/>
  <c r="Y54" i="20"/>
  <c r="F78" i="20"/>
  <c r="Q36" i="20"/>
  <c r="C57" i="10"/>
  <c r="E38" i="10"/>
  <c r="C28" i="10"/>
  <c r="C21" i="10"/>
  <c r="C17" i="10"/>
  <c r="Q35" i="20"/>
  <c r="O32" i="20"/>
  <c r="G61" i="20"/>
  <c r="E54" i="20"/>
  <c r="E52" i="20"/>
  <c r="O62" i="20"/>
  <c r="P54" i="20"/>
  <c r="Q52" i="20"/>
  <c r="G78" i="20"/>
  <c r="B63" i="10"/>
  <c r="B57" i="10"/>
  <c r="C46" i="10"/>
  <c r="C61" i="10"/>
  <c r="M35" i="20"/>
  <c r="D45" i="10" s="1"/>
  <c r="S60" i="20"/>
  <c r="X28" i="20"/>
  <c r="F38" i="10" s="1"/>
  <c r="P31" i="20"/>
  <c r="W16" i="20"/>
  <c r="Y15" i="20"/>
  <c r="Q57" i="20"/>
  <c r="C25" i="10"/>
  <c r="D37" i="20"/>
  <c r="D34" i="20"/>
  <c r="R34" i="20"/>
  <c r="R31" i="20"/>
  <c r="E62" i="20"/>
  <c r="F55" i="20"/>
  <c r="H53" i="20"/>
  <c r="D52" i="20"/>
  <c r="S55" i="20"/>
  <c r="Y7" i="20"/>
  <c r="X35" i="20"/>
  <c r="F45" i="10" s="1"/>
  <c r="Y26" i="20"/>
  <c r="S31" i="20"/>
  <c r="B25" i="10"/>
  <c r="S36" i="20"/>
  <c r="M34" i="20"/>
  <c r="D44" i="10" s="1"/>
  <c r="Q31" i="20"/>
  <c r="D60" i="20"/>
  <c r="E55" i="20"/>
  <c r="R55" i="20"/>
  <c r="H85" i="20"/>
  <c r="D81" i="20"/>
  <c r="D83" i="20"/>
  <c r="F81" i="20"/>
  <c r="H79" i="20"/>
  <c r="C83" i="20"/>
  <c r="E81" i="20"/>
  <c r="G79" i="20"/>
  <c r="H80" i="20"/>
  <c r="E82" i="20"/>
  <c r="G80" i="20"/>
  <c r="F80" i="20"/>
  <c r="B87" i="20"/>
  <c r="E85" i="20"/>
  <c r="G83" i="20"/>
  <c r="C82" i="20"/>
  <c r="E80" i="20"/>
  <c r="C81" i="20"/>
  <c r="E79" i="20"/>
  <c r="F82" i="20"/>
  <c r="D79" i="20"/>
  <c r="C79" i="20"/>
  <c r="F85" i="20"/>
  <c r="D82" i="20"/>
  <c r="D85" i="20"/>
  <c r="F83" i="20"/>
  <c r="H81" i="20"/>
  <c r="D80" i="20"/>
  <c r="H82" i="20"/>
  <c r="G85" i="20"/>
  <c r="H83" i="20"/>
  <c r="Y59" i="20"/>
  <c r="W63" i="20"/>
  <c r="E67" i="10" s="1"/>
  <c r="Y57" i="20"/>
  <c r="E60" i="10"/>
  <c r="X57" i="20"/>
  <c r="F61" i="10" s="1"/>
  <c r="E62" i="10"/>
  <c r="Y58" i="20"/>
  <c r="E65" i="10"/>
  <c r="Y61" i="20"/>
  <c r="Y56" i="20"/>
  <c r="E63" i="10"/>
  <c r="C64" i="10"/>
  <c r="Q61" i="20"/>
  <c r="S59" i="20"/>
  <c r="O58" i="20"/>
  <c r="Q56" i="20"/>
  <c r="L63" i="20"/>
  <c r="P61" i="20"/>
  <c r="R59" i="20"/>
  <c r="M58" i="20"/>
  <c r="D62" i="10" s="1"/>
  <c r="G62" i="10" s="1"/>
  <c r="P56" i="20"/>
  <c r="M55" i="20"/>
  <c r="D59" i="10" s="1"/>
  <c r="C62" i="10"/>
  <c r="O61" i="20"/>
  <c r="Q59" i="20"/>
  <c r="S57" i="20"/>
  <c r="O56" i="20"/>
  <c r="C60" i="10"/>
  <c r="Q60" i="20"/>
  <c r="S58" i="20"/>
  <c r="O57" i="20"/>
  <c r="Q55" i="20"/>
  <c r="P60" i="20"/>
  <c r="R58" i="20"/>
  <c r="M57" i="20"/>
  <c r="D61" i="10" s="1"/>
  <c r="P55" i="20"/>
  <c r="S61" i="20"/>
  <c r="O60" i="20"/>
  <c r="Q58" i="20"/>
  <c r="S56" i="20"/>
  <c r="O55" i="20"/>
  <c r="C63" i="10"/>
  <c r="R61" i="20"/>
  <c r="R56" i="20"/>
  <c r="C65" i="10"/>
  <c r="C60" i="20"/>
  <c r="G59" i="20"/>
  <c r="C58" i="20"/>
  <c r="B61" i="10"/>
  <c r="G60" i="20"/>
  <c r="C59" i="20"/>
  <c r="E57" i="20"/>
  <c r="G55" i="20"/>
  <c r="D58" i="20"/>
  <c r="B63" i="20"/>
  <c r="B67" i="10" s="1"/>
  <c r="F59" i="20"/>
  <c r="H57" i="20"/>
  <c r="D56" i="20"/>
  <c r="H59" i="20"/>
  <c r="F56" i="20"/>
  <c r="E56" i="20"/>
  <c r="E59" i="20"/>
  <c r="G57" i="20"/>
  <c r="E45" i="10"/>
  <c r="Y30" i="20"/>
  <c r="X30" i="20"/>
  <c r="F40" i="10" s="1"/>
  <c r="Y32" i="20"/>
  <c r="X32" i="20"/>
  <c r="F42" i="10" s="1"/>
  <c r="W38" i="20"/>
  <c r="E48" i="10" s="1"/>
  <c r="E46" i="10"/>
  <c r="E41" i="10"/>
  <c r="Y36" i="20"/>
  <c r="Y31" i="20"/>
  <c r="R30" i="20"/>
  <c r="L38" i="20"/>
  <c r="Q30" i="20"/>
  <c r="P35" i="20"/>
  <c r="M32" i="20"/>
  <c r="D42" i="10" s="1"/>
  <c r="P30" i="20"/>
  <c r="C40" i="10"/>
  <c r="O30" i="20"/>
  <c r="M30" i="20"/>
  <c r="D40" i="10" s="1"/>
  <c r="O36" i="20"/>
  <c r="Q34" i="20"/>
  <c r="S32" i="20"/>
  <c r="O31" i="20"/>
  <c r="C41" i="10"/>
  <c r="P34" i="20"/>
  <c r="R32" i="20"/>
  <c r="C45" i="10"/>
  <c r="B41" i="10"/>
  <c r="G41" i="10" s="1"/>
  <c r="D30" i="20"/>
  <c r="B38" i="20"/>
  <c r="B48" i="10" s="1"/>
  <c r="C34" i="20"/>
  <c r="F34" i="20"/>
  <c r="F32" i="20"/>
  <c r="F30" i="20"/>
  <c r="E36" i="20"/>
  <c r="E34" i="20"/>
  <c r="E32" i="20"/>
  <c r="E30" i="20"/>
  <c r="D32" i="20"/>
  <c r="B44" i="10"/>
  <c r="B40" i="10"/>
  <c r="F33" i="20"/>
  <c r="F31" i="20"/>
  <c r="E31" i="20"/>
  <c r="B46" i="10"/>
  <c r="G46" i="10" s="1"/>
  <c r="D33" i="20"/>
  <c r="D31" i="20"/>
  <c r="C32" i="20"/>
  <c r="B43" i="10"/>
  <c r="E33" i="20"/>
  <c r="C33" i="20"/>
  <c r="C31" i="20"/>
  <c r="C30" i="20"/>
  <c r="B42" i="10"/>
  <c r="X8" i="20"/>
  <c r="X9" i="20"/>
  <c r="Y12" i="20"/>
  <c r="Y11" i="20"/>
  <c r="Y10" i="20"/>
  <c r="Y8" i="20"/>
  <c r="D26" i="10"/>
  <c r="D21" i="10"/>
  <c r="G21" i="10" s="1"/>
  <c r="D23" i="10"/>
  <c r="C23" i="10"/>
  <c r="C27" i="10"/>
  <c r="D22" i="10"/>
  <c r="G22" i="10" s="1"/>
  <c r="F16" i="20"/>
  <c r="D24" i="10"/>
  <c r="C26" i="10"/>
  <c r="B16" i="20"/>
  <c r="B29" i="10" s="1"/>
  <c r="B27" i="10"/>
  <c r="G27" i="10" s="1"/>
  <c r="B24" i="10"/>
  <c r="B23" i="10"/>
  <c r="G18" i="10"/>
  <c r="D37" i="10"/>
  <c r="G28" i="10"/>
  <c r="A112" i="10" l="1"/>
  <c r="C29" i="10"/>
  <c r="F111" i="10" s="1"/>
  <c r="C48" i="10"/>
  <c r="F112" i="10" s="1"/>
  <c r="C67" i="10"/>
  <c r="F113" i="10" s="1"/>
  <c r="F114" i="10" s="1"/>
  <c r="G38" i="20"/>
  <c r="G63" i="10"/>
  <c r="H35" i="20"/>
  <c r="G26" i="10"/>
  <c r="I86" i="20"/>
  <c r="G37" i="10"/>
  <c r="I76" i="20"/>
  <c r="G47" i="10"/>
  <c r="T53" i="20"/>
  <c r="G38" i="10"/>
  <c r="T37" i="20"/>
  <c r="I77" i="20"/>
  <c r="H36" i="20"/>
  <c r="I75" i="20"/>
  <c r="H37" i="20"/>
  <c r="T62" i="20"/>
  <c r="I52" i="20"/>
  <c r="I62" i="20"/>
  <c r="I51" i="20"/>
  <c r="G43" i="10"/>
  <c r="G57" i="10"/>
  <c r="T51" i="20"/>
  <c r="G23" i="10"/>
  <c r="I56" i="20"/>
  <c r="S38" i="20"/>
  <c r="G66" i="10"/>
  <c r="I60" i="20"/>
  <c r="I54" i="20"/>
  <c r="T33" i="20"/>
  <c r="G39" i="10"/>
  <c r="I53" i="20"/>
  <c r="I61" i="20"/>
  <c r="I84" i="20"/>
  <c r="G56" i="10"/>
  <c r="T34" i="20"/>
  <c r="I58" i="20"/>
  <c r="X16" i="20"/>
  <c r="R76" i="10" s="1"/>
  <c r="B77" i="10" s="1"/>
  <c r="C16" i="20"/>
  <c r="T35" i="20"/>
  <c r="T56" i="20"/>
  <c r="I80" i="20"/>
  <c r="G87" i="20"/>
  <c r="I55" i="20"/>
  <c r="I78" i="20"/>
  <c r="H34" i="20"/>
  <c r="G25" i="10"/>
  <c r="T54" i="20"/>
  <c r="E63" i="20"/>
  <c r="G55" i="10"/>
  <c r="G45" i="10"/>
  <c r="G59" i="10"/>
  <c r="H63" i="20"/>
  <c r="G61" i="10"/>
  <c r="T59" i="20"/>
  <c r="X63" i="20"/>
  <c r="F67" i="10" s="1"/>
  <c r="F38" i="20"/>
  <c r="C87" i="20"/>
  <c r="T31" i="20"/>
  <c r="Q38" i="20"/>
  <c r="T52" i="20"/>
  <c r="C63" i="20"/>
  <c r="T61" i="20"/>
  <c r="F63" i="20"/>
  <c r="I81" i="20"/>
  <c r="G44" i="10"/>
  <c r="T36" i="20"/>
  <c r="G63" i="20"/>
  <c r="R63" i="20"/>
  <c r="Y16" i="20"/>
  <c r="Y38" i="20"/>
  <c r="I85" i="20"/>
  <c r="F87" i="20"/>
  <c r="Q63" i="20"/>
  <c r="X38" i="20"/>
  <c r="F48" i="10" s="1"/>
  <c r="H32" i="20"/>
  <c r="I57" i="20"/>
  <c r="P63" i="20"/>
  <c r="I59" i="20"/>
  <c r="T55" i="20"/>
  <c r="T57" i="20"/>
  <c r="D38" i="20"/>
  <c r="E38" i="20"/>
  <c r="S63" i="20"/>
  <c r="I83" i="20"/>
  <c r="D87" i="20"/>
  <c r="O38" i="20"/>
  <c r="H16" i="20"/>
  <c r="R38" i="20"/>
  <c r="P38" i="20"/>
  <c r="Y63" i="20"/>
  <c r="I82" i="20"/>
  <c r="G42" i="10"/>
  <c r="T60" i="20"/>
  <c r="E87" i="20"/>
  <c r="H30" i="20"/>
  <c r="T58" i="20"/>
  <c r="H33" i="20"/>
  <c r="D63" i="20"/>
  <c r="H87" i="20"/>
  <c r="I79" i="20"/>
  <c r="O63" i="20"/>
  <c r="M63" i="20"/>
  <c r="T30" i="20"/>
  <c r="T32" i="20"/>
  <c r="M38" i="20"/>
  <c r="D48" i="10" s="1"/>
  <c r="G40" i="10"/>
  <c r="H31" i="20"/>
  <c r="C38" i="20"/>
  <c r="G24" i="10"/>
  <c r="G16" i="20"/>
  <c r="D29" i="10" s="1"/>
  <c r="G29" i="10" s="1"/>
  <c r="Q79" i="10"/>
  <c r="P79" i="10"/>
  <c r="A113" i="10" l="1"/>
  <c r="A115" i="10" s="1"/>
  <c r="A116" i="10" s="1"/>
  <c r="A117" i="10" s="1"/>
  <c r="R77" i="10"/>
  <c r="F77" i="10" s="1"/>
  <c r="R78" i="10"/>
  <c r="B83" i="10" s="1"/>
  <c r="T38" i="20"/>
  <c r="I87" i="20"/>
  <c r="G48" i="10"/>
  <c r="D67" i="10"/>
  <c r="G67" i="10" s="1"/>
  <c r="T63" i="20"/>
  <c r="I63" i="20"/>
  <c r="H38" i="20"/>
  <c r="P78" i="10"/>
  <c r="P77" i="10"/>
  <c r="F75" i="10" s="1"/>
  <c r="P76" i="10"/>
  <c r="B75" i="10" s="1"/>
  <c r="K79" i="10"/>
  <c r="B81" i="10" l="1"/>
  <c r="F115" i="10"/>
  <c r="F116" i="10" s="1"/>
  <c r="K77" i="10"/>
  <c r="C49" i="10" s="1"/>
  <c r="K78" i="10"/>
  <c r="C68" i="10" s="1"/>
  <c r="O79" i="10"/>
  <c r="O76" i="10"/>
  <c r="Q78" i="10"/>
  <c r="B82" i="10" s="1"/>
  <c r="Q77" i="10"/>
  <c r="F76" i="10" s="1"/>
  <c r="K76" i="10"/>
  <c r="C30" i="10" s="1"/>
  <c r="Q76" i="10"/>
  <c r="B76" i="10" s="1"/>
  <c r="C32" i="10" l="1"/>
  <c r="F81" i="10"/>
  <c r="B84" i="10"/>
  <c r="C83" i="10"/>
  <c r="N78" i="10" s="1"/>
  <c r="F69" i="10" s="1"/>
  <c r="F78" i="10"/>
  <c r="G75" i="10"/>
  <c r="L77" i="10" s="1"/>
  <c r="D50" i="10" s="1"/>
  <c r="G76" i="10"/>
  <c r="M77" i="10" s="1"/>
  <c r="B50" i="10" s="1"/>
  <c r="G77" i="10"/>
  <c r="N77" i="10" s="1"/>
  <c r="F50" i="10" s="1"/>
  <c r="C82" i="10"/>
  <c r="M78" i="10" s="1"/>
  <c r="B69" i="10" s="1"/>
  <c r="C81" i="10"/>
  <c r="L78" i="10" s="1"/>
  <c r="D69" i="10" s="1"/>
  <c r="C75" i="10"/>
  <c r="L76" i="10" s="1"/>
  <c r="D31" i="10" s="1"/>
  <c r="C76" i="10"/>
  <c r="M76" i="10" s="1"/>
  <c r="B31" i="10" s="1"/>
  <c r="C77" i="10"/>
  <c r="N76" i="10" s="1"/>
  <c r="F31" i="10" s="1"/>
  <c r="O77" i="10"/>
  <c r="O78" i="10"/>
  <c r="B78" i="10"/>
  <c r="C70" i="10" l="1"/>
  <c r="F83" i="10"/>
  <c r="C51" i="10"/>
  <c r="F82" i="10"/>
</calcChain>
</file>

<file path=xl/sharedStrings.xml><?xml version="1.0" encoding="utf-8"?>
<sst xmlns="http://schemas.openxmlformats.org/spreadsheetml/2006/main" count="523" uniqueCount="188">
  <si>
    <t>Oy</t>
  </si>
  <si>
    <t>Iste'mol (kWh)</t>
  </si>
  <si>
    <t>Xarajat (so'm)</t>
  </si>
  <si>
    <t>Yanvar</t>
  </si>
  <si>
    <t>Fevral</t>
  </si>
  <si>
    <t>Mart</t>
  </si>
  <si>
    <t>Aprel</t>
  </si>
  <si>
    <t>May</t>
  </si>
  <si>
    <t>Iyun</t>
  </si>
  <si>
    <t>Iyul</t>
  </si>
  <si>
    <t>Avgust</t>
  </si>
  <si>
    <t>Sentabr</t>
  </si>
  <si>
    <t>Oktyabr</t>
  </si>
  <si>
    <t>Noyabr</t>
  </si>
  <si>
    <t>Dekabr</t>
  </si>
  <si>
    <t>JAMI</t>
  </si>
  <si>
    <t>ELEKTR 2024 — Bosqichli tarif (May 1dan)</t>
  </si>
  <si>
    <t>Tarif jadvali</t>
  </si>
  <si>
    <t>Davr</t>
  </si>
  <si>
    <t>0–200 kWh</t>
  </si>
  <si>
    <t>201–1000</t>
  </si>
  <si>
    <t>1001–5000</t>
  </si>
  <si>
    <t>5001–10000</t>
  </si>
  <si>
    <t>10001+</t>
  </si>
  <si>
    <t>Izoh</t>
  </si>
  <si>
    <t>Yan–Aprel</t>
  </si>
  <si>
    <t>-</t>
  </si>
  <si>
    <t>0-200 band: 295</t>
  </si>
  <si>
    <t>May–Dek</t>
  </si>
  <si>
    <t>0-200 band: 450 (May1 tarifi)</t>
  </si>
  <si>
    <t>Oylik hisob-kitob</t>
  </si>
  <si>
    <t>kWh</t>
  </si>
  <si>
    <t>0–200</t>
  </si>
  <si>
    <t>JAMI (so'm)</t>
  </si>
  <si>
    <t>Izoh: Yan–Iyun uchun 0-200 kWh×295; Iyul–Dek uchun 0-200 kWh×450; yuqori bosqichlar bir xil</t>
  </si>
  <si>
    <t>ELEKTR 2025 — Bosqichli tarif (Apr 1dan yangi)</t>
  </si>
  <si>
    <t>201–500</t>
  </si>
  <si>
    <t>501–1000</t>
  </si>
  <si>
    <t>Yan–Apr (2024 tarifi)</t>
  </si>
  <si>
    <t>Dek 2024 bilan bir xil</t>
  </si>
  <si>
    <t>May–Dek (yangi)</t>
  </si>
  <si>
    <t>Yangi bosqichli tarif</t>
  </si>
  <si>
    <t>Izoh: Yan–Apr = 2024 tarifi (0-200×450, 201-1000×900...); May–Dek = yangi 6-bosqich (600/800/1000/1500/1750/2000)</t>
  </si>
  <si>
    <t>GAZ 2023 — Yagona flat tarif: 380 so'm/m³</t>
  </si>
  <si>
    <t>Iste'mol (m³)</t>
  </si>
  <si>
    <t>energiya (kwt/soat)</t>
  </si>
  <si>
    <t>GAZ 2024 — Bosqichli tarif (May 1dan)</t>
  </si>
  <si>
    <t>Flat</t>
  </si>
  <si>
    <t>Kvota (m³)</t>
  </si>
  <si>
    <t>0–Kvota × 650</t>
  </si>
  <si>
    <t>Kvota–2500 × 1500</t>
  </si>
  <si>
    <t>2501–5000 × 1950</t>
  </si>
  <si>
    <t>5001–10000 × 2275</t>
  </si>
  <si>
    <t>10001+ × 2600</t>
  </si>
  <si>
    <t>Yan–Apr</t>
  </si>
  <si>
    <t>380 flat</t>
  </si>
  <si>
    <t>—</t>
  </si>
  <si>
    <t>Eski flat tarif</t>
  </si>
  <si>
    <t>May–Okt</t>
  </si>
  <si>
    <t>0-100: 650</t>
  </si>
  <si>
    <t>101-2500: 1500</t>
  </si>
  <si>
    <t>2501-5000: 1950</t>
  </si>
  <si>
    <t>5001-10k: 2275</t>
  </si>
  <si>
    <t>10001+: 2600</t>
  </si>
  <si>
    <t>Isitish yo'q</t>
  </si>
  <si>
    <t>Nov–Feb</t>
  </si>
  <si>
    <t>0-500: 650</t>
  </si>
  <si>
    <t>501-2500: 1500</t>
  </si>
  <si>
    <t>Isitish mavsumi</t>
  </si>
  <si>
    <t>m³</t>
  </si>
  <si>
    <t>kwt/soat</t>
  </si>
  <si>
    <t>Kvota</t>
  </si>
  <si>
    <t>Izoh: Yan–Apr flat 380. May+: Nov/Dec/Jan/Feb kvota=500 m³ (isitish), qolgan oylar kvota=100 m³</t>
  </si>
  <si>
    <t>Bosqich 2-5 FAQAT kvotadan OSHGAN iste'mol uchun hisoblanadi</t>
  </si>
  <si>
    <t>0–Kvota</t>
  </si>
  <si>
    <t>Kvota–2500</t>
  </si>
  <si>
    <t>2501–5000</t>
  </si>
  <si>
    <t>Tarif davri</t>
  </si>
  <si>
    <t>500 yoki 100</t>
  </si>
  <si>
    <t>×650</t>
  </si>
  <si>
    <t>×1500</t>
  </si>
  <si>
    <t>×1950</t>
  </si>
  <si>
    <t>×2275</t>
  </si>
  <si>
    <t>×2600</t>
  </si>
  <si>
    <t>2024 tarifi</t>
  </si>
  <si>
    <t>Jan/Feb isitish=500; Mar/Apr=100</t>
  </si>
  <si>
    <t>×1000</t>
  </si>
  <si>
    <t>×1800</t>
  </si>
  <si>
    <t>×2100</t>
  </si>
  <si>
    <t>×2500</t>
  </si>
  <si>
    <t>×3000</t>
  </si>
  <si>
    <t>Yangi tarif</t>
  </si>
  <si>
    <t>Nov/Dec isitish=500; qolgan=100</t>
  </si>
  <si>
    <t>Izoh: Yan/Feb=isitish (kvota=500, 2024 tarifi); Mar/Apr=oddiy (kvota=100, 2024 tarifi)</t>
  </si>
  <si>
    <t>May+: May–Okt kvota=100 (yangi tarif); Nov/Dek kvota=500 (yangi tarif)</t>
  </si>
  <si>
    <t>Iste'mol (kg)</t>
  </si>
  <si>
    <t>2023–2025 YILLIK ENERGIYA DIAGRAMMALARI</t>
  </si>
  <si>
    <t>3 ta pie chart: har bir yil uchun energiya ulushi. 1 ta bar chart: 3 yil bo'yicha umumiy xarajat taqqoslanishi.</t>
  </si>
  <si>
    <t>Yil</t>
  </si>
  <si>
    <t>Yillik umumiy energiya sarfi (kWh)</t>
  </si>
  <si>
    <t>Elektr %</t>
  </si>
  <si>
    <t>Gaz %</t>
  </si>
  <si>
    <t>Elektr (kWh)</t>
  </si>
  <si>
    <t>Gaz (kWh)</t>
  </si>
  <si>
    <t>2023-yil</t>
  </si>
  <si>
    <t>Energiya turi</t>
  </si>
  <si>
    <t>Ulush</t>
  </si>
  <si>
    <t>2024-yil</t>
  </si>
  <si>
    <t>Elektr</t>
  </si>
  <si>
    <t>2025-yil</t>
  </si>
  <si>
    <t>Gaz</t>
  </si>
  <si>
    <t>Boshqa 2025 — Flat 1500 so'm/kg</t>
  </si>
  <si>
    <t>Boshqa 2024 — Flat 1300 so'm/kg</t>
  </si>
  <si>
    <t>Boshqa 2023 — Flat 1000 so'm/kg</t>
  </si>
  <si>
    <t>GAZ 2025 — Bosqichli tarif</t>
  </si>
  <si>
    <t>Boshqa %</t>
  </si>
  <si>
    <t>Boshqa (kWh)</t>
  </si>
  <si>
    <t>Boshqa</t>
  </si>
  <si>
    <t>Value</t>
  </si>
  <si>
    <t xml:space="preserve">ELEKTR 2026 — Bosqichli tarif </t>
  </si>
  <si>
    <t>2026-yil</t>
  </si>
  <si>
    <t>tonna jami</t>
  </si>
  <si>
    <r>
      <t>m</t>
    </r>
    <r>
      <rPr>
        <vertAlign val="superscript"/>
        <sz val="12"/>
        <color theme="1"/>
        <rFont val="Cambria"/>
        <family val="1"/>
      </rPr>
      <t>3</t>
    </r>
    <r>
      <rPr>
        <sz val="12"/>
        <color theme="1"/>
        <rFont val="Cambria"/>
        <family val="1"/>
      </rPr>
      <t xml:space="preserve"> 2025</t>
    </r>
  </si>
  <si>
    <r>
      <t>m</t>
    </r>
    <r>
      <rPr>
        <vertAlign val="superscript"/>
        <sz val="12"/>
        <color theme="1"/>
        <rFont val="Cambria"/>
        <family val="1"/>
      </rPr>
      <t>3</t>
    </r>
    <r>
      <rPr>
        <sz val="12"/>
        <color theme="1"/>
        <rFont val="Cambria"/>
        <family val="1"/>
      </rPr>
      <t xml:space="preserve"> 2023</t>
    </r>
  </si>
  <si>
    <t>dimensions</t>
  </si>
  <si>
    <t>section_area</t>
  </si>
  <si>
    <t>dimensions2</t>
  </si>
  <si>
    <t>total</t>
  </si>
  <si>
    <t>window_area</t>
  </si>
  <si>
    <t>number</t>
  </si>
  <si>
    <t>door_area</t>
  </si>
  <si>
    <t>height</t>
  </si>
  <si>
    <t>wall_area</t>
  </si>
  <si>
    <t>Jami (kwt/soat)</t>
  </si>
  <si>
    <t xml:space="preserve">JAMI yillik energiya sarfi: </t>
  </si>
  <si>
    <t>Ulushi:</t>
  </si>
  <si>
    <t>Yillik umumiy xarajatlar:</t>
  </si>
  <si>
    <t>kW*soat</t>
  </si>
  <si>
    <t>gaz;</t>
  </si>
  <si>
    <t>elektr;</t>
  </si>
  <si>
    <t>Gaz iste'moli (m³)</t>
  </si>
  <si>
    <t>boshqa t.</t>
  </si>
  <si>
    <t>mln. So'm</t>
  </si>
  <si>
    <t>2023–YIL UCHUN ENERGIYA ISTE’MOLI TAHLILI</t>
  </si>
  <si>
    <t>2025–YIL UCHUN ENERGIYA ISTE’MOLI TAHLILI</t>
  </si>
  <si>
    <t>2024–YIL UCHUN ENERGIYA ISTE’MOLI TAHLILI</t>
  </si>
  <si>
    <t>Gaz energiyasi (kwt/soat)</t>
  </si>
  <si>
    <t>Boshqa turdagi e. Iste'mol (kg)</t>
  </si>
  <si>
    <t>Boshqa turdagi e. kwt/soat</t>
  </si>
  <si>
    <t>2023 Elektr</t>
  </si>
  <si>
    <t>2023 Boshqa</t>
  </si>
  <si>
    <t>2025 Boshqa</t>
  </si>
  <si>
    <t>2024 Boshqa</t>
  </si>
  <si>
    <t>2023 Gaz</t>
  </si>
  <si>
    <t>2024 Gaz</t>
  </si>
  <si>
    <t>2024 Elektr</t>
  </si>
  <si>
    <t>2025 Elektr</t>
  </si>
  <si>
    <t>2025 Gaz</t>
  </si>
  <si>
    <t>2026 Elektr</t>
  </si>
  <si>
    <t xml:space="preserve">ENERGIYA ISTE’MOLI TAHLILI </t>
  </si>
  <si>
    <t>2024-YIL</t>
  </si>
  <si>
    <t>2023-YIL</t>
  </si>
  <si>
    <t>2025-YIL</t>
  </si>
  <si>
    <t>Birlik</t>
  </si>
  <si>
    <t>mln so'm</t>
  </si>
  <si>
    <t>Jami</t>
  </si>
  <si>
    <t>Yillik jami energiya xarajatlari</t>
  </si>
  <si>
    <t>Ener. turi</t>
  </si>
  <si>
    <t>Walls</t>
  </si>
  <si>
    <t>Total area</t>
  </si>
  <si>
    <t>Windows</t>
  </si>
  <si>
    <t>Doors</t>
  </si>
  <si>
    <t>Roof</t>
  </si>
  <si>
    <t>tonna (elektr)</t>
  </si>
  <si>
    <t>tonna (gaz)</t>
  </si>
  <si>
    <r>
      <t>m</t>
    </r>
    <r>
      <rPr>
        <vertAlign val="superscript"/>
        <sz val="12"/>
        <color theme="1"/>
        <rFont val="Cambria"/>
        <family val="1"/>
      </rPr>
      <t>3</t>
    </r>
    <r>
      <rPr>
        <sz val="12"/>
        <color theme="1"/>
        <rFont val="Cambria"/>
        <family val="1"/>
      </rPr>
      <t xml:space="preserve"> 2024</t>
    </r>
    <r>
      <rPr>
        <sz val="12"/>
        <color theme="1"/>
        <rFont val="Calibri"/>
        <family val="2"/>
        <scheme val="minor"/>
      </rPr>
      <t/>
    </r>
  </si>
  <si>
    <r>
      <t>m</t>
    </r>
    <r>
      <rPr>
        <vertAlign val="superscript"/>
        <sz val="12"/>
        <color theme="1"/>
        <rFont val="Cambria"/>
        <family val="1"/>
      </rPr>
      <t>3</t>
    </r>
    <r>
      <rPr>
        <sz val="12"/>
        <color theme="1"/>
        <rFont val="Cambria"/>
        <family val="1"/>
      </rPr>
      <t xml:space="preserve"> 2025</t>
    </r>
    <r>
      <rPr>
        <sz val="12"/>
        <color theme="1"/>
        <rFont val="Calibri"/>
        <family val="2"/>
        <scheme val="minor"/>
      </rPr>
      <t/>
    </r>
  </si>
  <si>
    <t>Format</t>
  </si>
  <si>
    <t>Norm</t>
  </si>
  <si>
    <t>Percent</t>
  </si>
  <si>
    <t>Difference</t>
  </si>
  <si>
    <t>Therm. rate</t>
  </si>
  <si>
    <t>total area</t>
  </si>
  <si>
    <t>kWh gas</t>
  </si>
  <si>
    <t>Building energy type</t>
  </si>
  <si>
    <t>Tonn of co2 emission</t>
  </si>
  <si>
    <t>___________</t>
  </si>
  <si>
    <t>ELEKTR 2023 (tarif: 295 so'm/kWh)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</si>
</sst>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&quot; kWh&quot;"/>
    <numFmt numFmtId="165" formatCode="0.0%"/>
    <numFmt numFmtId="166" formatCode="#,##0.0"/>
    <numFmt numFmtId="167" formatCode="0.0"/>
    <numFmt numFmtId="168" formatCode="#,##0.000"/>
  </numFmts>
  <fonts count="24" x14ac:knownFonts="1">
    <font>
      <sz val="11"/>
      <color theme="1"/>
      <name val="Calibri"/>
      <family val="2"/>
      <charset val="1"/>
    </font>
    <font>
      <sz val="12"/>
      <color theme="1"/>
      <name val="Calibri"/>
      <family val="2"/>
      <scheme val="minor"/>
    </font>
    <font>
      <b/>
      <sz val="11"/>
      <color rgb="FFFFFFFF"/>
      <name val="Arial"/>
      <family val="2"/>
      <charset val="1"/>
    </font>
    <font>
      <b/>
      <sz val="10"/>
      <color rgb="FFFFFFFF"/>
      <name val="Arial"/>
      <family val="2"/>
      <charset val="1"/>
    </font>
    <font>
      <sz val="10"/>
      <color rgb="FF000000"/>
      <name val="Arial"/>
      <family val="2"/>
      <charset val="1"/>
    </font>
    <font>
      <sz val="10"/>
      <color rgb="FF0000FF"/>
      <name val="Arial"/>
      <family val="2"/>
      <charset val="1"/>
    </font>
    <font>
      <b/>
      <sz val="10"/>
      <color rgb="FF000000"/>
      <name val="Arial"/>
      <family val="2"/>
      <charset val="1"/>
    </font>
    <font>
      <i/>
      <sz val="9"/>
      <color rgb="FF000000"/>
      <name val="Arial"/>
      <family val="2"/>
      <charset val="1"/>
    </font>
    <font>
      <b/>
      <sz val="14"/>
      <color rgb="FFFFFFFF"/>
      <name val="Cambria"/>
      <family val="1"/>
    </font>
    <font>
      <i/>
      <sz val="11"/>
      <color rgb="FF666666"/>
      <name val="Cambria"/>
      <family val="1"/>
    </font>
    <font>
      <b/>
      <sz val="11"/>
      <name val="Cambria"/>
      <family val="1"/>
    </font>
    <font>
      <sz val="11"/>
      <name val="Cambria"/>
      <family val="1"/>
    </font>
    <font>
      <sz val="10"/>
      <color theme="1"/>
      <name val="Cambria"/>
      <family val="1"/>
    </font>
    <font>
      <b/>
      <sz val="10"/>
      <color theme="1"/>
      <name val="Cambria"/>
      <family val="1"/>
    </font>
    <font>
      <sz val="11"/>
      <color theme="1"/>
      <name val="Calibri"/>
      <family val="2"/>
      <charset val="1"/>
    </font>
    <font>
      <sz val="12"/>
      <color theme="1"/>
      <name val="Cambria"/>
      <family val="1"/>
    </font>
    <font>
      <vertAlign val="superscript"/>
      <sz val="12"/>
      <color theme="1"/>
      <name val="Cambria"/>
      <family val="1"/>
    </font>
    <font>
      <sz val="8"/>
      <name val="Calibri"/>
      <family val="2"/>
      <charset val="1"/>
    </font>
    <font>
      <b/>
      <sz val="11"/>
      <color theme="1"/>
      <name val="Calibri"/>
      <family val="2"/>
    </font>
    <font>
      <b/>
      <sz val="14"/>
      <color rgb="FF000000"/>
      <name val="Times New Roman"/>
      <family val="1"/>
    </font>
    <font>
      <sz val="10"/>
      <color rgb="FF0000FF"/>
      <name val="Cambria"/>
      <family val="1"/>
    </font>
    <font>
      <b/>
      <sz val="10"/>
      <color rgb="FFFFFFFF"/>
      <name val="Arial"/>
      <family val="2"/>
    </font>
    <font>
      <sz val="12"/>
      <color theme="1"/>
      <name val="Calibri"/>
      <family val="2"/>
      <charset val="1"/>
    </font>
    <font>
      <b/>
      <sz val="22"/>
      <color rgb="FFFFFFFF"/>
      <name val="Cambria"/>
      <family val="1"/>
    </font>
  </fonts>
  <fills count="21">
    <fill>
      <patternFill patternType="none"/>
    </fill>
    <fill>
      <patternFill patternType="gray125"/>
    </fill>
    <fill>
      <patternFill patternType="solid">
        <fgColor rgb="FF2E75B6"/>
        <bgColor rgb="FF4F81BD"/>
      </patternFill>
    </fill>
    <fill>
      <patternFill patternType="solid">
        <fgColor rgb="FFFFF2CC"/>
        <bgColor rgb="FFFCE4D6"/>
      </patternFill>
    </fill>
    <fill>
      <patternFill patternType="solid">
        <fgColor rgb="FFBDD7EE"/>
        <bgColor rgb="FFB7C9D6"/>
      </patternFill>
    </fill>
    <fill>
      <patternFill patternType="solid">
        <fgColor rgb="FFD6E4F0"/>
        <bgColor rgb="FFD9EAF7"/>
      </patternFill>
    </fill>
    <fill>
      <patternFill patternType="solid">
        <fgColor rgb="FF1F4E78"/>
        <bgColor rgb="FF003366"/>
      </patternFill>
    </fill>
    <fill>
      <patternFill patternType="solid">
        <fgColor rgb="FFD9EAF7"/>
        <bgColor rgb="FFD6E4F0"/>
      </patternFill>
    </fill>
    <fill>
      <patternFill patternType="solid">
        <fgColor rgb="FFEAF4E6"/>
        <bgColor rgb="FFD9EAF7"/>
      </patternFill>
    </fill>
    <fill>
      <patternFill patternType="solid">
        <fgColor rgb="FFFCE4D6"/>
        <bgColor rgb="FFFFF2CC"/>
      </patternFill>
    </fill>
    <fill>
      <patternFill patternType="solid">
        <fgColor rgb="FFFFF2CC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79998168889431442"/>
        <bgColor rgb="FFFCE4D6"/>
      </patternFill>
    </fill>
    <fill>
      <patternFill patternType="solid">
        <fgColor theme="4" tint="0.39997558519241921"/>
        <bgColor rgb="FFFCE4D6"/>
      </patternFill>
    </fill>
    <fill>
      <patternFill patternType="solid">
        <fgColor theme="4" tint="0.59999389629810485"/>
        <bgColor rgb="FFFCE4D6"/>
      </patternFill>
    </fill>
    <fill>
      <patternFill patternType="solid">
        <fgColor theme="5" tint="0.79998168889431442"/>
        <bgColor rgb="FFFCE4D6"/>
      </patternFill>
    </fill>
    <fill>
      <patternFill patternType="solid">
        <fgColor theme="5" tint="0.59999389629810485"/>
        <bgColor rgb="FFFCE4D6"/>
      </patternFill>
    </fill>
    <fill>
      <patternFill patternType="solid">
        <fgColor theme="5" tint="0.39997558519241921"/>
        <bgColor rgb="FFFCE4D6"/>
      </patternFill>
    </fill>
    <fill>
      <patternFill patternType="solid">
        <fgColor theme="2" tint="-9.9978637043366805E-2"/>
        <bgColor rgb="FFFCE4D6"/>
      </patternFill>
    </fill>
  </fills>
  <borders count="24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B7C9D6"/>
      </left>
      <right style="thin">
        <color rgb="FFB7C9D6"/>
      </right>
      <top style="thin">
        <color rgb="FFB7C9D6"/>
      </top>
      <bottom style="thin">
        <color rgb="FFB7C9D6"/>
      </bottom>
      <diagonal/>
    </border>
    <border>
      <left style="thin">
        <color rgb="FFAAAAAA"/>
      </left>
      <right/>
      <top/>
      <bottom style="thin">
        <color rgb="FFAAAAAA"/>
      </bottom>
      <diagonal/>
    </border>
    <border>
      <left/>
      <right/>
      <top/>
      <bottom style="thin">
        <color rgb="FFAAAAAA"/>
      </bottom>
      <diagonal/>
    </border>
    <border>
      <left style="thin">
        <color rgb="FFAAAAAA"/>
      </left>
      <right/>
      <top style="thin">
        <color rgb="FFAAAAAA"/>
      </top>
      <bottom/>
      <diagonal/>
    </border>
    <border>
      <left/>
      <right/>
      <top style="thin">
        <color rgb="FFAAAAAA"/>
      </top>
      <bottom/>
      <diagonal/>
    </border>
    <border>
      <left/>
      <right style="thin">
        <color rgb="FFAAAAAA"/>
      </right>
      <top/>
      <bottom style="thin">
        <color rgb="FFAAAAAA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AAAAAA"/>
      </right>
      <top/>
      <bottom style="medium">
        <color rgb="FFAAAAAA"/>
      </bottom>
      <diagonal/>
    </border>
    <border>
      <left style="medium">
        <color rgb="FFAAAAAA"/>
      </left>
      <right style="medium">
        <color rgb="FFAAAAAA"/>
      </right>
      <top style="medium">
        <color rgb="FFAAAAAA"/>
      </top>
      <bottom style="medium">
        <color rgb="FFAAAAAA"/>
      </bottom>
      <diagonal/>
    </border>
    <border>
      <left/>
      <right style="medium">
        <color rgb="FFAAAAAA"/>
      </right>
      <top style="medium">
        <color rgb="FFAAAAAA"/>
      </top>
      <bottom style="medium">
        <color rgb="FFAAAAAA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medium">
        <color indexed="64"/>
      </top>
      <bottom/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 style="medium">
        <color indexed="64"/>
      </top>
      <bottom style="medium">
        <color rgb="FFAAAAAA"/>
      </bottom>
      <diagonal/>
    </border>
  </borders>
  <cellStyleXfs count="2">
    <xf numFmtId="0" fontId="0" fillId="0" borderId="0"/>
    <xf numFmtId="9" fontId="14" fillId="0" borderId="0" applyFont="0" applyFill="0" applyBorder="0" applyAlignment="0" applyProtection="0"/>
  </cellStyleXfs>
  <cellXfs count="99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4" fontId="5" fillId="3" borderId="1" xfId="0" applyNumberFormat="1" applyFont="1" applyFill="1" applyBorder="1" applyAlignment="1">
      <alignment horizontal="right" vertical="center" wrapText="1"/>
    </xf>
    <xf numFmtId="4" fontId="4" fillId="0" borderId="1" xfId="0" applyNumberFormat="1" applyFont="1" applyBorder="1" applyAlignment="1">
      <alignment horizontal="right" vertical="center" wrapText="1"/>
    </xf>
    <xf numFmtId="0" fontId="6" fillId="4" borderId="1" xfId="0" applyFont="1" applyFill="1" applyBorder="1" applyAlignment="1">
      <alignment horizontal="left" vertical="center" wrapText="1"/>
    </xf>
    <xf numFmtId="4" fontId="6" fillId="4" borderId="1" xfId="0" applyNumberFormat="1" applyFont="1" applyFill="1" applyBorder="1" applyAlignment="1">
      <alignment horizontal="right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3" fontId="5" fillId="0" borderId="1" xfId="0" applyNumberFormat="1" applyFont="1" applyBorder="1" applyAlignment="1">
      <alignment horizontal="right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9" fillId="0" borderId="0" xfId="0" applyFont="1"/>
    <xf numFmtId="0" fontId="10" fillId="7" borderId="2" xfId="0" applyFont="1" applyFill="1" applyBorder="1" applyAlignment="1">
      <alignment horizontal="center" vertical="center" wrapText="1"/>
    </xf>
    <xf numFmtId="0" fontId="11" fillId="0" borderId="2" xfId="0" applyFont="1" applyBorder="1" applyAlignment="1">
      <alignment horizontal="left" vertical="center" wrapText="1"/>
    </xf>
    <xf numFmtId="164" fontId="11" fillId="0" borderId="2" xfId="0" applyNumberFormat="1" applyFont="1" applyBorder="1" applyAlignment="1">
      <alignment horizontal="center" vertical="center" wrapText="1"/>
    </xf>
    <xf numFmtId="165" fontId="11" fillId="0" borderId="2" xfId="0" applyNumberFormat="1" applyFont="1" applyBorder="1" applyAlignment="1">
      <alignment horizontal="center" vertical="center" wrapText="1"/>
    </xf>
    <xf numFmtId="3" fontId="11" fillId="0" borderId="2" xfId="0" applyNumberFormat="1" applyFont="1" applyBorder="1" applyAlignment="1">
      <alignment horizontal="center" vertical="center" wrapText="1"/>
    </xf>
    <xf numFmtId="165" fontId="0" fillId="0" borderId="2" xfId="0" applyNumberFormat="1" applyBorder="1"/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left"/>
    </xf>
    <xf numFmtId="9" fontId="0" fillId="0" borderId="0" xfId="1" applyFont="1" applyAlignment="1">
      <alignment horizontal="left"/>
    </xf>
    <xf numFmtId="166" fontId="4" fillId="0" borderId="1" xfId="0" applyNumberFormat="1" applyFont="1" applyBorder="1" applyAlignment="1">
      <alignment horizontal="right" vertical="center" wrapText="1"/>
    </xf>
    <xf numFmtId="166" fontId="6" fillId="4" borderId="1" xfId="0" applyNumberFormat="1" applyFont="1" applyFill="1" applyBorder="1" applyAlignment="1">
      <alignment horizontal="right" vertical="center" wrapText="1"/>
    </xf>
    <xf numFmtId="0" fontId="18" fillId="0" borderId="0" xfId="0" applyFont="1"/>
    <xf numFmtId="0" fontId="6" fillId="5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3" fontId="6" fillId="4" borderId="0" xfId="0" applyNumberFormat="1" applyFont="1" applyFill="1" applyAlignment="1">
      <alignment horizontal="right" vertical="center" wrapText="1"/>
    </xf>
    <xf numFmtId="3" fontId="6" fillId="4" borderId="0" xfId="0" applyNumberFormat="1" applyFont="1" applyFill="1" applyAlignment="1">
      <alignment horizontal="left" vertical="center" wrapText="1"/>
    </xf>
    <xf numFmtId="9" fontId="6" fillId="4" borderId="0" xfId="1" applyFont="1" applyFill="1" applyBorder="1" applyAlignment="1">
      <alignment horizontal="right" vertical="center" wrapText="1"/>
    </xf>
    <xf numFmtId="0" fontId="4" fillId="0" borderId="9" xfId="0" applyFont="1" applyBorder="1" applyAlignment="1">
      <alignment horizontal="left" vertical="center" wrapText="1"/>
    </xf>
    <xf numFmtId="0" fontId="6" fillId="4" borderId="8" xfId="0" applyFont="1" applyFill="1" applyBorder="1" applyAlignment="1">
      <alignment horizontal="left" vertical="center" wrapText="1"/>
    </xf>
    <xf numFmtId="0" fontId="6" fillId="4" borderId="10" xfId="0" applyFont="1" applyFill="1" applyBorder="1" applyAlignment="1">
      <alignment horizontal="left" vertical="center" wrapText="1"/>
    </xf>
    <xf numFmtId="3" fontId="6" fillId="4" borderId="11" xfId="0" applyNumberFormat="1" applyFont="1" applyFill="1" applyBorder="1" applyAlignment="1">
      <alignment horizontal="right" vertical="center" wrapText="1"/>
    </xf>
    <xf numFmtId="3" fontId="5" fillId="3" borderId="1" xfId="0" applyNumberFormat="1" applyFont="1" applyFill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center" vertical="center" wrapText="1"/>
    </xf>
    <xf numFmtId="3" fontId="5" fillId="3" borderId="9" xfId="0" applyNumberFormat="1" applyFont="1" applyFill="1" applyBorder="1" applyAlignment="1">
      <alignment horizontal="center" vertical="center" wrapText="1"/>
    </xf>
    <xf numFmtId="3" fontId="4" fillId="0" borderId="9" xfId="0" applyNumberFormat="1" applyFont="1" applyBorder="1" applyAlignment="1">
      <alignment horizontal="center" vertical="center" wrapText="1"/>
    </xf>
    <xf numFmtId="3" fontId="6" fillId="4" borderId="8" xfId="0" applyNumberFormat="1" applyFont="1" applyFill="1" applyBorder="1" applyAlignment="1">
      <alignment horizontal="center" vertical="center" wrapText="1"/>
    </xf>
    <xf numFmtId="1" fontId="6" fillId="4" borderId="8" xfId="0" applyNumberFormat="1" applyFont="1" applyFill="1" applyBorder="1" applyAlignment="1">
      <alignment horizontal="center" vertical="center" wrapText="1"/>
    </xf>
    <xf numFmtId="3" fontId="6" fillId="4" borderId="13" xfId="0" applyNumberFormat="1" applyFont="1" applyFill="1" applyBorder="1" applyAlignment="1">
      <alignment horizontal="right" vertical="center" wrapText="1"/>
    </xf>
    <xf numFmtId="3" fontId="6" fillId="4" borderId="13" xfId="0" applyNumberFormat="1" applyFont="1" applyFill="1" applyBorder="1" applyAlignment="1">
      <alignment horizontal="left" vertical="center" wrapText="1"/>
    </xf>
    <xf numFmtId="3" fontId="6" fillId="4" borderId="14" xfId="0" applyNumberFormat="1" applyFont="1" applyFill="1" applyBorder="1" applyAlignment="1">
      <alignment horizontal="right" vertical="center" wrapText="1"/>
    </xf>
    <xf numFmtId="166" fontId="6" fillId="4" borderId="13" xfId="0" applyNumberFormat="1" applyFont="1" applyFill="1" applyBorder="1" applyAlignment="1">
      <alignment horizontal="right" vertical="center" wrapText="1"/>
    </xf>
    <xf numFmtId="3" fontId="6" fillId="4" borderId="11" xfId="0" applyNumberFormat="1" applyFont="1" applyFill="1" applyBorder="1" applyAlignment="1">
      <alignment horizontal="left" vertical="center" wrapText="1"/>
    </xf>
    <xf numFmtId="3" fontId="19" fillId="0" borderId="0" xfId="0" applyNumberFormat="1" applyFont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21" fillId="12" borderId="16" xfId="0" applyFont="1" applyFill="1" applyBorder="1" applyAlignment="1">
      <alignment horizontal="center" vertical="center" wrapText="1"/>
    </xf>
    <xf numFmtId="0" fontId="21" fillId="12" borderId="17" xfId="0" applyFont="1" applyFill="1" applyBorder="1" applyAlignment="1">
      <alignment horizontal="center" vertical="center" wrapText="1"/>
    </xf>
    <xf numFmtId="0" fontId="0" fillId="13" borderId="18" xfId="0" applyFill="1" applyBorder="1"/>
    <xf numFmtId="4" fontId="5" fillId="14" borderId="1" xfId="0" applyNumberFormat="1" applyFont="1" applyFill="1" applyBorder="1" applyAlignment="1">
      <alignment horizontal="right" vertical="center" wrapText="1"/>
    </xf>
    <xf numFmtId="4" fontId="5" fillId="15" borderId="1" xfId="0" applyNumberFormat="1" applyFont="1" applyFill="1" applyBorder="1" applyAlignment="1">
      <alignment horizontal="right" vertical="center" wrapText="1"/>
    </xf>
    <xf numFmtId="4" fontId="5" fillId="16" borderId="1" xfId="0" applyNumberFormat="1" applyFont="1" applyFill="1" applyBorder="1" applyAlignment="1">
      <alignment horizontal="right" vertical="center" wrapText="1"/>
    </xf>
    <xf numFmtId="4" fontId="5" fillId="17" borderId="1" xfId="0" applyNumberFormat="1" applyFont="1" applyFill="1" applyBorder="1" applyAlignment="1">
      <alignment horizontal="right" vertical="center" wrapText="1"/>
    </xf>
    <xf numFmtId="4" fontId="5" fillId="18" borderId="1" xfId="0" applyNumberFormat="1" applyFont="1" applyFill="1" applyBorder="1" applyAlignment="1">
      <alignment horizontal="right" vertical="center" wrapText="1"/>
    </xf>
    <xf numFmtId="4" fontId="5" fillId="19" borderId="1" xfId="0" applyNumberFormat="1" applyFont="1" applyFill="1" applyBorder="1" applyAlignment="1">
      <alignment horizontal="right" vertical="center" wrapText="1"/>
    </xf>
    <xf numFmtId="4" fontId="5" fillId="20" borderId="1" xfId="0" applyNumberFormat="1" applyFont="1" applyFill="1" applyBorder="1" applyAlignment="1">
      <alignment horizontal="right" vertical="center" wrapText="1"/>
    </xf>
    <xf numFmtId="4" fontId="20" fillId="10" borderId="15" xfId="0" applyNumberFormat="1" applyFont="1" applyFill="1" applyBorder="1" applyAlignment="1">
      <alignment horizontal="right" vertical="center" wrapText="1"/>
    </xf>
    <xf numFmtId="0" fontId="0" fillId="0" borderId="8" xfId="0" applyBorder="1"/>
    <xf numFmtId="166" fontId="0" fillId="0" borderId="8" xfId="0" applyNumberFormat="1" applyBorder="1"/>
    <xf numFmtId="165" fontId="0" fillId="0" borderId="8" xfId="0" applyNumberFormat="1" applyBorder="1"/>
    <xf numFmtId="0" fontId="0" fillId="0" borderId="8" xfId="0" applyBorder="1" applyAlignment="1">
      <alignment horizontal="center" vertical="center" wrapText="1"/>
    </xf>
    <xf numFmtId="168" fontId="0" fillId="0" borderId="8" xfId="0" applyNumberFormat="1" applyBorder="1" applyAlignment="1">
      <alignment horizontal="right" vertical="center"/>
    </xf>
    <xf numFmtId="3" fontId="0" fillId="0" borderId="8" xfId="0" applyNumberFormat="1" applyBorder="1" applyAlignment="1">
      <alignment horizontal="left" vertical="center"/>
    </xf>
    <xf numFmtId="0" fontId="10" fillId="8" borderId="8" xfId="0" applyFont="1" applyFill="1" applyBorder="1" applyAlignment="1">
      <alignment horizontal="center" vertical="center" wrapText="1"/>
    </xf>
    <xf numFmtId="0" fontId="10" fillId="9" borderId="8" xfId="0" applyFont="1" applyFill="1" applyBorder="1" applyAlignment="1">
      <alignment horizontal="center" vertical="center" wrapText="1"/>
    </xf>
    <xf numFmtId="0" fontId="10" fillId="9" borderId="8" xfId="0" applyFont="1" applyFill="1" applyBorder="1" applyAlignment="1">
      <alignment horizontal="left" vertical="center" wrapText="1"/>
    </xf>
    <xf numFmtId="0" fontId="8" fillId="11" borderId="19" xfId="0" applyFont="1" applyFill="1" applyBorder="1" applyAlignment="1">
      <alignment vertical="center" wrapText="1"/>
    </xf>
    <xf numFmtId="0" fontId="15" fillId="0" borderId="0" xfId="0" applyFont="1" applyAlignment="1">
      <alignment horizontal="left" vertical="center"/>
    </xf>
    <xf numFmtId="0" fontId="22" fillId="0" borderId="0" xfId="0" applyFont="1"/>
    <xf numFmtId="167" fontId="15" fillId="0" borderId="0" xfId="0" applyNumberFormat="1" applyFont="1" applyAlignment="1">
      <alignment horizontal="center" vertical="center"/>
    </xf>
    <xf numFmtId="1" fontId="15" fillId="0" borderId="0" xfId="0" applyNumberFormat="1" applyFont="1" applyAlignment="1">
      <alignment horizontal="center" vertical="center"/>
    </xf>
    <xf numFmtId="9" fontId="15" fillId="0" borderId="0" xfId="1" applyFont="1" applyAlignment="1">
      <alignment horizontal="center" vertical="center"/>
    </xf>
    <xf numFmtId="0" fontId="6" fillId="4" borderId="12" xfId="0" applyFont="1" applyFill="1" applyBorder="1" applyAlignment="1">
      <alignment horizontal="center" vertical="center" wrapText="1"/>
    </xf>
    <xf numFmtId="0" fontId="6" fillId="4" borderId="13" xfId="0" applyFont="1" applyFill="1" applyBorder="1" applyAlignment="1">
      <alignment horizontal="center" vertical="center" wrapText="1"/>
    </xf>
    <xf numFmtId="0" fontId="8" fillId="11" borderId="19" xfId="0" applyFont="1" applyFill="1" applyBorder="1" applyAlignment="1">
      <alignment horizontal="center" vertical="center" wrapText="1"/>
    </xf>
    <xf numFmtId="0" fontId="8" fillId="6" borderId="0" xfId="0" applyFont="1" applyFill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0" fontId="23" fillId="6" borderId="0" xfId="0" applyFont="1" applyFill="1" applyAlignment="1">
      <alignment horizontal="left" vertical="center" wrapText="1"/>
    </xf>
    <xf numFmtId="0" fontId="2" fillId="2" borderId="20" xfId="0" applyFont="1" applyFill="1" applyBorder="1" applyAlignment="1">
      <alignment horizontal="center" vertical="center" wrapText="1"/>
    </xf>
    <xf numFmtId="0" fontId="2" fillId="2" borderId="21" xfId="0" applyFont="1" applyFill="1" applyBorder="1" applyAlignment="1">
      <alignment horizontal="center" vertical="center" wrapText="1"/>
    </xf>
    <xf numFmtId="0" fontId="2" fillId="2" borderId="2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10" fillId="9" borderId="12" xfId="0" applyFont="1" applyFill="1" applyBorder="1" applyAlignment="1">
      <alignment horizontal="center" vertical="center" wrapText="1"/>
    </xf>
    <xf numFmtId="0" fontId="10" fillId="9" borderId="13" xfId="0" applyFont="1" applyFill="1" applyBorder="1" applyAlignment="1">
      <alignment horizontal="center" vertical="center" wrapText="1"/>
    </xf>
    <xf numFmtId="0" fontId="10" fillId="9" borderId="14" xfId="0" applyFont="1" applyFill="1" applyBorder="1" applyAlignment="1">
      <alignment horizontal="center" vertical="center" wrapText="1"/>
    </xf>
    <xf numFmtId="0" fontId="10" fillId="8" borderId="12" xfId="0" applyFont="1" applyFill="1" applyBorder="1" applyAlignment="1">
      <alignment horizontal="center"/>
    </xf>
    <xf numFmtId="0" fontId="10" fillId="8" borderId="13" xfId="0" applyFont="1" applyFill="1" applyBorder="1" applyAlignment="1">
      <alignment horizontal="center"/>
    </xf>
    <xf numFmtId="0" fontId="10" fillId="8" borderId="14" xfId="0" applyFont="1" applyFill="1" applyBorder="1" applyAlignment="1">
      <alignment horizontal="center"/>
    </xf>
    <xf numFmtId="0" fontId="8" fillId="11" borderId="23" xfId="0" applyFont="1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strike val="0"/>
        <outline val="0"/>
        <shadow val="0"/>
        <u val="none"/>
        <sz val="12"/>
        <color theme="1"/>
      </font>
    </dxf>
    <dxf>
      <font>
        <strike val="0"/>
        <outline val="0"/>
        <shadow val="0"/>
        <u val="none"/>
        <sz val="12"/>
        <color theme="1"/>
        <name val="Cambria"/>
        <family val="1"/>
      </font>
      <numFmt numFmtId="167" formatCode="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sz val="12"/>
        <color theme="1"/>
      </font>
    </dxf>
    <dxf>
      <font>
        <strike val="0"/>
        <outline val="0"/>
        <shadow val="0"/>
        <u val="none"/>
        <sz val="12"/>
        <color theme="1"/>
      </font>
    </dxf>
    <dxf>
      <font>
        <strike val="0"/>
        <outline val="0"/>
        <shadow val="0"/>
        <u val="none"/>
        <sz val="12"/>
        <color theme="1"/>
        <name val="Cambria"/>
        <family val="1"/>
      </font>
      <numFmt numFmtId="167" formatCode="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sz val="12"/>
        <color theme="1"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C9D6"/>
      <rgbColor rgb="FF4F81BD"/>
      <rgbColor rgb="FF9999FF"/>
      <rgbColor rgb="FFC0504D"/>
      <rgbColor rgb="FFFFF2CC"/>
      <rgbColor rgb="FFD9EAF7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4E6"/>
      <rgbColor rgb="FFD6E4F0"/>
      <rgbColor rgb="FFD9D9D9"/>
      <rgbColor rgb="FFB3B3B3"/>
      <rgbColor rgb="FFFF99CC"/>
      <rgbColor rgb="FFCC99FF"/>
      <rgbColor rgb="FFFCE4D6"/>
      <rgbColor rgb="FF2E75B6"/>
      <rgbColor rgb="FF33CCCC"/>
      <rgbColor rgb="FF9BBB59"/>
      <rgbColor rgb="FFFFCC00"/>
      <rgbColor rgb="FFFF9900"/>
      <rgbColor rgb="FFFF6600"/>
      <rgbColor rgb="FF666666"/>
      <rgbColor rgb="FFAAAAAA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2023-yil energiya</a:t>
            </a:r>
            <a:r>
              <a:rPr lang="en-US" sz="1200" baseline="0"/>
              <a:t> </a:t>
            </a:r>
            <a:r>
              <a:rPr lang="en-US" sz="1200"/>
              <a:t>ulushi</a:t>
            </a:r>
          </a:p>
        </c:rich>
      </c:tx>
      <c:layout>
        <c:manualLayout>
          <c:xMode val="edge"/>
          <c:yMode val="edge"/>
          <c:x val="9.9805519121799302E-2"/>
          <c:y val="2.1233834979764782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Z"/>
        </a:p>
      </c:txPr>
    </c:title>
    <c:autoTitleDeleted val="0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Main!$B$74</c:f>
              <c:strCache>
                <c:ptCount val="1"/>
                <c:pt idx="0">
                  <c:v>kWh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alpha val="90000"/>
                </a:schemeClr>
              </a:solidFill>
              <a:ln w="19050">
                <a:solidFill>
                  <a:schemeClr val="accent1">
                    <a:lumMod val="75000"/>
                  </a:schemeClr>
                </a:solidFill>
              </a:ln>
              <a:effectLst>
                <a:innerShdw blurRad="114300">
                  <a:schemeClr val="accent1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1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16A7-A846-ADA7-3544CDEB59C2}"/>
              </c:ext>
            </c:extLst>
          </c:dPt>
          <c:dPt>
            <c:idx val="1"/>
            <c:bubble3D val="0"/>
            <c:explosion val="2"/>
            <c:spPr>
              <a:solidFill>
                <a:schemeClr val="accent2">
                  <a:alpha val="90000"/>
                </a:schemeClr>
              </a:solidFill>
              <a:ln w="19050">
                <a:solidFill>
                  <a:schemeClr val="accent2">
                    <a:lumMod val="75000"/>
                  </a:schemeClr>
                </a:solidFill>
              </a:ln>
              <a:effectLst>
                <a:innerShdw blurRad="114300">
                  <a:schemeClr val="accent2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2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16A7-A846-ADA7-3544CDEB59C2}"/>
              </c:ext>
            </c:extLst>
          </c:dPt>
          <c:dPt>
            <c:idx val="2"/>
            <c:bubble3D val="0"/>
            <c:spPr>
              <a:solidFill>
                <a:schemeClr val="accent3">
                  <a:alpha val="90000"/>
                </a:schemeClr>
              </a:solidFill>
              <a:ln w="19050">
                <a:solidFill>
                  <a:schemeClr val="accent3">
                    <a:lumMod val="75000"/>
                  </a:schemeClr>
                </a:solidFill>
              </a:ln>
              <a:effectLst>
                <a:innerShdw blurRad="114300">
                  <a:schemeClr val="accent3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3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16A7-A846-ADA7-3544CDEB59C2}"/>
              </c:ext>
            </c:extLst>
          </c:dPt>
          <c:dLbls>
            <c:dLbl>
              <c:idx val="0"/>
              <c:layout>
                <c:manualLayout>
                  <c:x val="0.10820005536716032"/>
                  <c:y val="-8.0129945864232596E-3"/>
                </c:manualLayout>
              </c:layout>
              <c:spPr>
                <a:solidFill>
                  <a:schemeClr val="lt1">
                    <a:alpha val="90000"/>
                  </a:schemeClr>
                </a:solidFill>
                <a:ln w="12700" cap="flat" cmpd="sng" algn="ctr">
                  <a:solidFill>
                    <a:schemeClr val="accent1"/>
                  </a:solidFill>
                  <a:round/>
                </a:ln>
                <a:effectLst>
                  <a:outerShdw blurRad="50800" dist="38100" dir="2700000" algn="tl" rotWithShape="0">
                    <a:schemeClr val="accent1">
                      <a:lumMod val="75000"/>
                      <a:alpha val="40000"/>
                    </a:scheme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600" b="0" i="0" u="none" strike="noStrike" kern="1200" baseline="0">
                      <a:solidFill>
                        <a:schemeClr val="accent1"/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n-UZ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6A7-A846-ADA7-3544CDEB59C2}"/>
                </c:ext>
              </c:extLst>
            </c:dLbl>
            <c:dLbl>
              <c:idx val="1"/>
              <c:layout>
                <c:manualLayout>
                  <c:x val="-1.7745820997076077E-2"/>
                  <c:y val="0.1183088016298296"/>
                </c:manualLayout>
              </c:layout>
              <c:spPr>
                <a:solidFill>
                  <a:schemeClr val="lt1">
                    <a:alpha val="90000"/>
                  </a:schemeClr>
                </a:solidFill>
                <a:ln w="12700" cap="flat" cmpd="sng" algn="ctr">
                  <a:solidFill>
                    <a:schemeClr val="accent2"/>
                  </a:solidFill>
                  <a:round/>
                </a:ln>
                <a:effectLst>
                  <a:outerShdw blurRad="50800" dist="38100" dir="2700000" algn="tl" rotWithShape="0">
                    <a:schemeClr val="accent2">
                      <a:lumMod val="75000"/>
                      <a:alpha val="40000"/>
                    </a:scheme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600" b="0" i="0" u="none" strike="noStrike" kern="1200" baseline="0">
                      <a:solidFill>
                        <a:schemeClr val="accent2"/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n-UZ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6A7-A846-ADA7-3544CDEB59C2}"/>
                </c:ext>
              </c:extLst>
            </c:dLbl>
            <c:dLbl>
              <c:idx val="2"/>
              <c:layout>
                <c:manualLayout>
                  <c:x val="0"/>
                  <c:y val="-0.1568280394743099"/>
                </c:manualLayout>
              </c:layout>
              <c:spPr>
                <a:solidFill>
                  <a:schemeClr val="lt1">
                    <a:alpha val="90000"/>
                  </a:schemeClr>
                </a:solidFill>
                <a:ln w="12700" cap="flat" cmpd="sng" algn="ctr">
                  <a:solidFill>
                    <a:schemeClr val="accent3"/>
                  </a:solidFill>
                  <a:round/>
                </a:ln>
                <a:effectLst>
                  <a:outerShdw blurRad="50800" dist="38100" dir="2700000" algn="tl" rotWithShape="0">
                    <a:schemeClr val="accent3">
                      <a:lumMod val="75000"/>
                      <a:alpha val="40000"/>
                    </a:scheme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600" b="0" i="0" u="none" strike="noStrike" kern="1200" baseline="0">
                      <a:solidFill>
                        <a:schemeClr val="accent3"/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n-UZ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6A7-A846-ADA7-3544CDEB59C2}"/>
                </c:ext>
              </c:extLst>
            </c:dLbl>
            <c:spPr>
              <a:solidFill>
                <a:srgbClr val="FFFFFF">
                  <a:alpha val="90000"/>
                </a:srgbClr>
              </a:solidFill>
              <a:ln w="12700" cap="flat" cmpd="sng" algn="ctr">
                <a:solidFill>
                  <a:srgbClr val="4F81BD"/>
                </a:solidFill>
                <a:round/>
              </a:ln>
              <a:effectLst>
                <a:outerShdw blurRad="50800" dist="38100" dir="2700000" algn="tl" rotWithShape="0">
                  <a:srgbClr val="4F81BD">
                    <a:lumMod val="75000"/>
                    <a:alpha val="40000"/>
                  </a:srgbClr>
                </a:outerShd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600" b="0" i="0" u="none" strike="noStrike" kern="1200" baseline="0">
                    <a:solidFill>
                      <a:schemeClr val="accent1"/>
                    </a:solidFill>
                    <a:effectLst/>
                    <a:latin typeface="+mn-lt"/>
                    <a:ea typeface="+mn-ea"/>
                    <a:cs typeface="+mn-cs"/>
                  </a:defRPr>
                </a:pPr>
                <a:endParaRPr lang="en-UZ"/>
              </a:p>
            </c:txPr>
            <c:dLblPos val="inEnd"/>
            <c:showLegendKey val="1"/>
            <c:showVal val="1"/>
            <c:showCatName val="1"/>
            <c:showSerName val="1"/>
            <c:showPercent val="1"/>
            <c:showBubbleSize val="0"/>
            <c:separator>; </c:separator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Main!$A$75:$A$77</c:f>
              <c:strCache>
                <c:ptCount val="3"/>
                <c:pt idx="0">
                  <c:v>Elektr</c:v>
                </c:pt>
                <c:pt idx="1">
                  <c:v>Gaz</c:v>
                </c:pt>
                <c:pt idx="2">
                  <c:v>Boshqa</c:v>
                </c:pt>
              </c:strCache>
            </c:strRef>
          </c:cat>
          <c:val>
            <c:numRef>
              <c:f>Main!$B$75:$B$77</c:f>
              <c:numCache>
                <c:formatCode>#\ ##0.0</c:formatCode>
                <c:ptCount val="3"/>
                <c:pt idx="0">
                  <c:v>1716</c:v>
                </c:pt>
                <c:pt idx="1">
                  <c:v>16302</c:v>
                </c:pt>
                <c:pt idx="2">
                  <c:v>11977.680000000002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A7-A846-ADA7-3544CDEB59C2}"/>
            </c:ext>
          </c:extLst>
        </c:ser>
        <c:dLbls>
          <c:dLblPos val="in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en-UZ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2024-yil energiya ulushi</a:t>
            </a:r>
          </a:p>
        </c:rich>
      </c:tx>
      <c:layout>
        <c:manualLayout>
          <c:xMode val="edge"/>
          <c:yMode val="edge"/>
          <c:x val="0.11090968763368861"/>
          <c:y val="6.3683567884426856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Z"/>
        </a:p>
      </c:txPr>
    </c:title>
    <c:autoTitleDeleted val="0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Main!$F$74</c:f>
              <c:strCache>
                <c:ptCount val="1"/>
                <c:pt idx="0">
                  <c:v>kWh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alpha val="90000"/>
                </a:schemeClr>
              </a:solidFill>
              <a:ln w="19050">
                <a:solidFill>
                  <a:schemeClr val="accent1">
                    <a:lumMod val="75000"/>
                  </a:schemeClr>
                </a:solidFill>
              </a:ln>
              <a:effectLst>
                <a:innerShdw blurRad="114300">
                  <a:schemeClr val="accent1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1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381-B347-AFC0-F9FC0A2CF6BA}"/>
              </c:ext>
            </c:extLst>
          </c:dPt>
          <c:dPt>
            <c:idx val="1"/>
            <c:bubble3D val="0"/>
            <c:spPr>
              <a:solidFill>
                <a:schemeClr val="accent2">
                  <a:alpha val="90000"/>
                </a:schemeClr>
              </a:solidFill>
              <a:ln w="19050">
                <a:solidFill>
                  <a:schemeClr val="accent2">
                    <a:lumMod val="75000"/>
                  </a:schemeClr>
                </a:solidFill>
              </a:ln>
              <a:effectLst>
                <a:innerShdw blurRad="114300">
                  <a:schemeClr val="accent2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2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381-B347-AFC0-F9FC0A2CF6BA}"/>
              </c:ext>
            </c:extLst>
          </c:dPt>
          <c:dPt>
            <c:idx val="2"/>
            <c:bubble3D val="0"/>
            <c:spPr>
              <a:solidFill>
                <a:schemeClr val="accent3">
                  <a:alpha val="90000"/>
                </a:schemeClr>
              </a:solidFill>
              <a:ln w="19050">
                <a:solidFill>
                  <a:schemeClr val="accent3">
                    <a:lumMod val="75000"/>
                  </a:schemeClr>
                </a:solidFill>
              </a:ln>
              <a:effectLst>
                <a:innerShdw blurRad="114300">
                  <a:schemeClr val="accent3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3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381-B347-AFC0-F9FC0A2CF6BA}"/>
              </c:ext>
            </c:extLst>
          </c:dPt>
          <c:dLbls>
            <c:dLbl>
              <c:idx val="0"/>
              <c:layout>
                <c:manualLayout>
                  <c:x val="0.12180946456825446"/>
                  <c:y val="2.4425406233467971E-2"/>
                </c:manualLayout>
              </c:layout>
              <c:spPr>
                <a:solidFill>
                  <a:schemeClr val="lt1">
                    <a:alpha val="90000"/>
                  </a:schemeClr>
                </a:solidFill>
                <a:ln w="12700" cap="flat" cmpd="sng" algn="ctr">
                  <a:solidFill>
                    <a:schemeClr val="accent1"/>
                  </a:solidFill>
                  <a:round/>
                </a:ln>
                <a:effectLst>
                  <a:outerShdw blurRad="50800" dist="38100" dir="2700000" algn="tl" rotWithShape="0">
                    <a:schemeClr val="accent1">
                      <a:lumMod val="75000"/>
                      <a:alpha val="40000"/>
                    </a:scheme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600" b="0" i="0" u="none" strike="noStrike" kern="1200" baseline="0">
                      <a:solidFill>
                        <a:schemeClr val="accent1"/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n-UZ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381-B347-AFC0-F9FC0A2CF6BA}"/>
                </c:ext>
              </c:extLst>
            </c:dLbl>
            <c:dLbl>
              <c:idx val="1"/>
              <c:layout>
                <c:manualLayout>
                  <c:x val="-3.255589958021466E-2"/>
                  <c:y val="0.10851128377548294"/>
                </c:manualLayout>
              </c:layout>
              <c:spPr>
                <a:solidFill>
                  <a:schemeClr val="lt1">
                    <a:alpha val="90000"/>
                  </a:schemeClr>
                </a:solidFill>
                <a:ln w="12700" cap="flat" cmpd="sng" algn="ctr">
                  <a:solidFill>
                    <a:schemeClr val="accent2"/>
                  </a:solidFill>
                  <a:round/>
                </a:ln>
                <a:effectLst>
                  <a:outerShdw blurRad="50800" dist="38100" dir="2700000" algn="tl" rotWithShape="0">
                    <a:schemeClr val="accent2">
                      <a:lumMod val="75000"/>
                      <a:alpha val="40000"/>
                    </a:scheme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600" b="0" i="0" u="none" strike="noStrike" kern="1200" baseline="0">
                      <a:solidFill>
                        <a:schemeClr val="accent2"/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n-UZ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381-B347-AFC0-F9FC0A2CF6BA}"/>
                </c:ext>
              </c:extLst>
            </c:dLbl>
            <c:dLbl>
              <c:idx val="2"/>
              <c:layout>
                <c:manualLayout>
                  <c:x val="0"/>
                  <c:y val="-0.14092571838323972"/>
                </c:manualLayout>
              </c:layout>
              <c:spPr>
                <a:solidFill>
                  <a:schemeClr val="lt1">
                    <a:alpha val="90000"/>
                  </a:schemeClr>
                </a:solidFill>
                <a:ln w="12700" cap="flat" cmpd="sng" algn="ctr">
                  <a:solidFill>
                    <a:schemeClr val="accent3"/>
                  </a:solidFill>
                  <a:round/>
                </a:ln>
                <a:effectLst>
                  <a:outerShdw blurRad="50800" dist="38100" dir="2700000" algn="tl" rotWithShape="0">
                    <a:schemeClr val="accent3">
                      <a:lumMod val="75000"/>
                      <a:alpha val="40000"/>
                    </a:scheme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600" b="0" i="0" u="none" strike="noStrike" kern="1200" baseline="0">
                      <a:solidFill>
                        <a:schemeClr val="accent3"/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n-UZ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381-B347-AFC0-F9FC0A2CF6BA}"/>
                </c:ext>
              </c:extLst>
            </c:dLbl>
            <c:spPr>
              <a:solidFill>
                <a:srgbClr val="FFFFFF">
                  <a:alpha val="90000"/>
                </a:srgbClr>
              </a:solidFill>
              <a:ln w="12700" cap="flat" cmpd="sng" algn="ctr">
                <a:solidFill>
                  <a:srgbClr val="4F81BD"/>
                </a:solidFill>
                <a:round/>
              </a:ln>
              <a:effectLst>
                <a:outerShdw blurRad="50800" dist="38100" dir="2700000" algn="tl" rotWithShape="0">
                  <a:srgbClr val="4F81BD">
                    <a:lumMod val="75000"/>
                    <a:alpha val="40000"/>
                  </a:srgbClr>
                </a:outerShd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600" b="0" i="0" u="none" strike="noStrike" kern="1200" baseline="0">
                    <a:solidFill>
                      <a:schemeClr val="accent1"/>
                    </a:solidFill>
                    <a:effectLst/>
                    <a:latin typeface="+mn-lt"/>
                    <a:ea typeface="+mn-ea"/>
                    <a:cs typeface="+mn-cs"/>
                  </a:defRPr>
                </a:pPr>
                <a:endParaRPr lang="en-UZ"/>
              </a:p>
            </c:txPr>
            <c:dLblPos val="inEnd"/>
            <c:showLegendKey val="1"/>
            <c:showVal val="1"/>
            <c:showCatName val="1"/>
            <c:showSerName val="1"/>
            <c:showPercent val="1"/>
            <c:showBubbleSize val="0"/>
            <c:separator>; </c:separator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Main!$E$75:$E$77</c:f>
              <c:strCache>
                <c:ptCount val="3"/>
                <c:pt idx="0">
                  <c:v>Elektr</c:v>
                </c:pt>
                <c:pt idx="1">
                  <c:v>Gaz</c:v>
                </c:pt>
                <c:pt idx="2">
                  <c:v>Boshqa</c:v>
                </c:pt>
              </c:strCache>
            </c:strRef>
          </c:cat>
          <c:val>
            <c:numRef>
              <c:f>Main!$F$75:$F$77</c:f>
              <c:numCache>
                <c:formatCode>#\ ##0.0</c:formatCode>
                <c:ptCount val="3"/>
                <c:pt idx="0">
                  <c:v>1716</c:v>
                </c:pt>
                <c:pt idx="1">
                  <c:v>16302</c:v>
                </c:pt>
                <c:pt idx="2">
                  <c:v>11977.680000000002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381-B347-AFC0-F9FC0A2CF6BA}"/>
            </c:ext>
          </c:extLst>
        </c:ser>
        <c:dLbls>
          <c:dLblPos val="in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Z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2025-yil energiya ulushi</a:t>
            </a:r>
          </a:p>
        </c:rich>
      </c:tx>
      <c:layout>
        <c:manualLayout>
          <c:xMode val="edge"/>
          <c:yMode val="edge"/>
          <c:x val="0.10500006686766591"/>
          <c:y val="7.6810799942438283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Z"/>
        </a:p>
      </c:txPr>
    </c:title>
    <c:autoTitleDeleted val="0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Main!$B$80</c:f>
              <c:strCache>
                <c:ptCount val="1"/>
                <c:pt idx="0">
                  <c:v>kWh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alpha val="90000"/>
                </a:schemeClr>
              </a:solidFill>
              <a:ln w="19050">
                <a:solidFill>
                  <a:schemeClr val="accent1">
                    <a:lumMod val="75000"/>
                  </a:schemeClr>
                </a:solidFill>
              </a:ln>
              <a:effectLst>
                <a:innerShdw blurRad="114300">
                  <a:schemeClr val="accent1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1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489-0841-B66B-49EDB2DAB42A}"/>
              </c:ext>
            </c:extLst>
          </c:dPt>
          <c:dPt>
            <c:idx val="1"/>
            <c:bubble3D val="0"/>
            <c:spPr>
              <a:solidFill>
                <a:schemeClr val="accent2">
                  <a:alpha val="90000"/>
                </a:schemeClr>
              </a:solidFill>
              <a:ln w="19050">
                <a:solidFill>
                  <a:schemeClr val="accent2">
                    <a:lumMod val="75000"/>
                  </a:schemeClr>
                </a:solidFill>
              </a:ln>
              <a:effectLst>
                <a:innerShdw blurRad="114300">
                  <a:schemeClr val="accent2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2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489-0841-B66B-49EDB2DAB42A}"/>
              </c:ext>
            </c:extLst>
          </c:dPt>
          <c:dPt>
            <c:idx val="2"/>
            <c:bubble3D val="0"/>
            <c:spPr>
              <a:solidFill>
                <a:schemeClr val="accent3">
                  <a:alpha val="90000"/>
                </a:schemeClr>
              </a:solidFill>
              <a:ln w="19050">
                <a:solidFill>
                  <a:schemeClr val="accent3">
                    <a:lumMod val="75000"/>
                  </a:schemeClr>
                </a:solidFill>
              </a:ln>
              <a:effectLst>
                <a:innerShdw blurRad="114300">
                  <a:schemeClr val="accent3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3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489-0841-B66B-49EDB2DAB42A}"/>
              </c:ext>
            </c:extLst>
          </c:dPt>
          <c:dLbls>
            <c:dLbl>
              <c:idx val="0"/>
              <c:layout>
                <c:manualLayout>
                  <c:x val="0.12756072203210342"/>
                  <c:y val="3.0345254993905349E-2"/>
                </c:manualLayout>
              </c:layout>
              <c:spPr>
                <a:solidFill>
                  <a:schemeClr val="lt1">
                    <a:alpha val="90000"/>
                  </a:schemeClr>
                </a:solidFill>
                <a:ln w="12700" cap="flat" cmpd="sng" algn="ctr">
                  <a:solidFill>
                    <a:schemeClr val="accent1"/>
                  </a:solidFill>
                  <a:round/>
                </a:ln>
                <a:effectLst>
                  <a:outerShdw blurRad="50800" dist="38100" dir="2700000" algn="tl" rotWithShape="0">
                    <a:schemeClr val="accent1">
                      <a:lumMod val="75000"/>
                      <a:alpha val="40000"/>
                    </a:scheme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600" b="0" i="0" u="none" strike="noStrike" kern="1200" baseline="0">
                      <a:solidFill>
                        <a:schemeClr val="accent1"/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n-UZ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489-0841-B66B-49EDB2DAB42A}"/>
                </c:ext>
              </c:extLst>
            </c:dLbl>
            <c:dLbl>
              <c:idx val="1"/>
              <c:layout>
                <c:manualLayout>
                  <c:x val="-4.2940433787884869E-2"/>
                  <c:y val="9.7400145709370473E-2"/>
                </c:manualLayout>
              </c:layout>
              <c:spPr>
                <a:solidFill>
                  <a:schemeClr val="lt1">
                    <a:alpha val="90000"/>
                  </a:schemeClr>
                </a:solidFill>
                <a:ln w="12700" cap="flat" cmpd="sng" algn="ctr">
                  <a:solidFill>
                    <a:schemeClr val="accent2"/>
                  </a:solidFill>
                  <a:round/>
                </a:ln>
                <a:effectLst>
                  <a:outerShdw blurRad="50800" dist="38100" dir="2700000" algn="tl" rotWithShape="0">
                    <a:schemeClr val="accent2">
                      <a:lumMod val="75000"/>
                      <a:alpha val="40000"/>
                    </a:scheme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600" b="0" i="0" u="none" strike="noStrike" kern="1200" baseline="0">
                      <a:solidFill>
                        <a:schemeClr val="accent2"/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n-UZ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489-0841-B66B-49EDB2DAB42A}"/>
                </c:ext>
              </c:extLst>
            </c:dLbl>
            <c:dLbl>
              <c:idx val="2"/>
              <c:layout>
                <c:manualLayout>
                  <c:x val="0"/>
                  <c:y val="-0.1410763540166097"/>
                </c:manualLayout>
              </c:layout>
              <c:spPr>
                <a:solidFill>
                  <a:schemeClr val="lt1">
                    <a:alpha val="90000"/>
                  </a:schemeClr>
                </a:solidFill>
                <a:ln w="12700" cap="flat" cmpd="sng" algn="ctr">
                  <a:solidFill>
                    <a:schemeClr val="accent3"/>
                  </a:solidFill>
                  <a:round/>
                </a:ln>
                <a:effectLst>
                  <a:outerShdw blurRad="50800" dist="38100" dir="2700000" algn="tl" rotWithShape="0">
                    <a:schemeClr val="accent3">
                      <a:lumMod val="75000"/>
                      <a:alpha val="40000"/>
                    </a:scheme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600" b="0" i="0" u="none" strike="noStrike" kern="1200" baseline="0">
                      <a:solidFill>
                        <a:schemeClr val="accent3"/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n-UZ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489-0841-B66B-49EDB2DAB42A}"/>
                </c:ext>
              </c:extLst>
            </c:dLbl>
            <c:spPr>
              <a:solidFill>
                <a:srgbClr val="FFFFFF">
                  <a:alpha val="90000"/>
                </a:srgbClr>
              </a:solidFill>
              <a:ln w="12700" cap="flat" cmpd="sng" algn="ctr">
                <a:solidFill>
                  <a:srgbClr val="4F81BD"/>
                </a:solidFill>
                <a:round/>
              </a:ln>
              <a:effectLst>
                <a:outerShdw blurRad="50800" dist="38100" dir="2700000" algn="tl" rotWithShape="0">
                  <a:srgbClr val="4F81BD">
                    <a:lumMod val="75000"/>
                    <a:alpha val="40000"/>
                  </a:srgbClr>
                </a:outerShd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600" b="0" i="0" u="none" strike="noStrike" kern="1200" baseline="0">
                    <a:solidFill>
                      <a:schemeClr val="accent1"/>
                    </a:solidFill>
                    <a:effectLst/>
                    <a:latin typeface="+mn-lt"/>
                    <a:ea typeface="+mn-ea"/>
                    <a:cs typeface="+mn-cs"/>
                  </a:defRPr>
                </a:pPr>
                <a:endParaRPr lang="en-UZ"/>
              </a:p>
            </c:txPr>
            <c:dLblPos val="inEnd"/>
            <c:showLegendKey val="1"/>
            <c:showVal val="1"/>
            <c:showCatName val="1"/>
            <c:showSerName val="1"/>
            <c:showPercent val="1"/>
            <c:showBubbleSize val="0"/>
            <c:separator>; </c:separator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Main!$A$81:$A$83</c:f>
              <c:strCache>
                <c:ptCount val="3"/>
                <c:pt idx="0">
                  <c:v>Elektr</c:v>
                </c:pt>
                <c:pt idx="1">
                  <c:v>Gaz</c:v>
                </c:pt>
                <c:pt idx="2">
                  <c:v>Boshqa</c:v>
                </c:pt>
              </c:strCache>
            </c:strRef>
          </c:cat>
          <c:val>
            <c:numRef>
              <c:f>Main!$B$81:$B$83</c:f>
              <c:numCache>
                <c:formatCode>#\ ##0.0</c:formatCode>
                <c:ptCount val="3"/>
                <c:pt idx="0">
                  <c:v>1716</c:v>
                </c:pt>
                <c:pt idx="1">
                  <c:v>16302</c:v>
                </c:pt>
                <c:pt idx="2">
                  <c:v>11977.680000000002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489-0841-B66B-49EDB2DAB42A}"/>
            </c:ext>
          </c:extLst>
        </c:ser>
        <c:dLbls>
          <c:dLblPos val="in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Z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wrap="square" anchor="ctr" anchorCtr="1"/>
          <a:lstStyle/>
          <a:p>
            <a:pPr>
              <a:defRPr sz="18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2023–2025 yillik umumiy xarajat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Main!$F$80</c:f>
              <c:strCache>
                <c:ptCount val="1"/>
                <c:pt idx="0">
                  <c:v>Jami</c:v>
                </c:pt>
              </c:strCache>
            </c:strRef>
          </c:tx>
          <c:spPr>
            <a:gradFill>
              <a:gsLst>
                <a:gs pos="100000">
                  <a:schemeClr val="accent1">
                    <a:alpha val="0"/>
                  </a:schemeClr>
                </a:gs>
                <a:gs pos="50000">
                  <a:schemeClr val="accent1"/>
                </a:gs>
              </a:gsLst>
              <a:lin ang="5400000" scaled="0"/>
            </a:gradFill>
            <a:ln>
              <a:noFill/>
            </a:ln>
            <a:effectLst/>
            <a:sp3d/>
          </c:spPr>
          <c:invertIfNegative val="0"/>
          <c:dLbls>
            <c:dLbl>
              <c:idx val="0"/>
              <c:layout>
                <c:manualLayout>
                  <c:x val="0"/>
                  <c:y val="1.0722814814877357E-2"/>
                </c:manualLayout>
              </c:layout>
              <c:showLegendKey val="1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9A3-F945-94D7-C56524C3998D}"/>
                </c:ext>
              </c:extLst>
            </c:dLbl>
            <c:dLbl>
              <c:idx val="1"/>
              <c:layout>
                <c:manualLayout>
                  <c:x val="0"/>
                  <c:y val="1.0722814814877307E-2"/>
                </c:manualLayout>
              </c:layout>
              <c:showLegendKey val="1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79A3-F945-94D7-C56524C3998D}"/>
                </c:ext>
              </c:extLst>
            </c:dLbl>
            <c:dLbl>
              <c:idx val="2"/>
              <c:layout>
                <c:manualLayout>
                  <c:x val="0"/>
                  <c:y val="1.6084222222316036E-2"/>
                </c:manualLayout>
              </c:layout>
              <c:showLegendKey val="1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79A3-F945-94D7-C56524C3998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8288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Copperplate" panose="02000504000000020004" pitchFamily="2" charset="77"/>
                    <a:ea typeface="+mn-ea"/>
                    <a:cs typeface="+mn-cs"/>
                  </a:defRPr>
                </a:pPr>
                <a:endParaRPr lang="en-UZ"/>
              </a:p>
            </c:txPr>
            <c:showLegendKey val="1"/>
            <c:showVal val="1"/>
            <c:showCatName val="0"/>
            <c:showSerName val="0"/>
            <c:showPercent val="0"/>
            <c:showBubbleSize val="0"/>
            <c:separator>; </c:separator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Main!$E$81:$E$83</c:f>
              <c:numCache>
                <c:formatCode>General</c:formatCod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numCache>
            </c:numRef>
          </c:cat>
          <c:val>
            <c:numRef>
              <c:f>Main!$F$81:$F$83</c:f>
              <c:numCache>
                <c:formatCode>#\ ##0.000</c:formatCode>
                <c:ptCount val="3"/>
                <c:pt idx="0">
                  <c:v>2.8742999999999999</c:v>
                </c:pt>
                <c:pt idx="1">
                  <c:v>4.031345</c:v>
                </c:pt>
                <c:pt idx="2">
                  <c:v>5.3563999999999998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E3-0742-BF04-4CB0510399D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gapDepth val="0"/>
        <c:shape val="box"/>
        <c:axId val="46063273"/>
        <c:axId val="63149929"/>
        <c:axId val="0"/>
      </c:bar3DChart>
      <c:catAx>
        <c:axId val="46063273"/>
        <c:scaling>
          <c:orientation val="minMax"/>
        </c:scaling>
        <c:delete val="0"/>
        <c:axPos val="b"/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Yil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Z"/>
          </a:p>
        </c:txPr>
        <c:crossAx val="63149929"/>
        <c:crosses val="autoZero"/>
        <c:auto val="1"/>
        <c:lblAlgn val="ctr"/>
        <c:lblOffset val="100"/>
        <c:noMultiLvlLbl val="0"/>
      </c:catAx>
      <c:valAx>
        <c:axId val="6314992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So'm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\ ##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Z"/>
          </a:p>
        </c:txPr>
        <c:crossAx val="4606327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Z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3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>
      <cs:styleClr val="auto"/>
    </cs:lnRef>
    <cs:fillRef idx="0"/>
    <cs:effectRef idx="0">
      <cs:styleClr val="auto"/>
    </cs:effectRef>
    <cs:fontRef idx="minor">
      <cs:styleClr val="auto"/>
    </cs:fontRef>
    <cs:spPr>
      <a:solidFill>
        <a:schemeClr val="lt1">
          <a:alpha val="90000"/>
        </a:schemeClr>
      </a:solidFill>
      <a:ln w="12700" cap="flat" cmpd="sng" algn="ctr">
        <a:solidFill>
          <a:schemeClr val="phClr"/>
        </a:solidFill>
        <a:round/>
      </a:ln>
      <a:effectLst>
        <a:outerShdw blurRad="50800" dist="38100" dir="2700000" algn="tl" rotWithShape="0">
          <a:schemeClr val="phClr">
            <a:lumMod val="75000"/>
            <a:alpha val="40000"/>
          </a:schemeClr>
        </a:outerShdw>
      </a:effectLst>
    </cs:spPr>
    <cs:defRPr sz="1000" b="0" i="0" u="none" strike="noStrike" kern="1200" baseline="0">
      <a:effectLst/>
    </cs:defRPr>
    <cs:bodyPr rot="0" spcFirstLastPara="1" vertOverflow="clip" horzOverflow="clip" vert="horz" wrap="square" lIns="38100" tIns="19050" rIns="38100" bIns="19050" anchor="ctr" anchorCtr="1">
      <a:spAutoFit/>
    </cs:bodyPr>
  </cs:dataLabel>
  <cs:dataLabelCallout>
    <cs:lnRef idx="0">
      <cs:styleClr val="auto"/>
    </cs:lnRef>
    <cs:fillRef idx="0"/>
    <cs:effectRef idx="0">
      <cs:styleClr val="auto"/>
    </cs:effectRef>
    <cs:fontRef idx="minor">
      <cs:styleClr val="auto"/>
    </cs:fontRef>
    <cs:spPr>
      <a:solidFill>
        <a:schemeClr val="lt1">
          <a:alpha val="90000"/>
        </a:schemeClr>
      </a:solidFill>
      <a:ln w="12700" cap="flat" cmpd="sng" algn="ctr">
        <a:solidFill>
          <a:schemeClr val="phClr"/>
        </a:solidFill>
        <a:round/>
      </a:ln>
      <a:effectLst>
        <a:outerShdw blurRad="50800" dist="38100" dir="2700000" algn="tl" rotWithShape="0">
          <a:schemeClr val="phClr">
            <a:lumMod val="75000"/>
            <a:alpha val="40000"/>
          </a:schemeClr>
        </a:outerShdw>
      </a:effectLst>
    </cs:spPr>
    <cs:defRPr sz="1000" b="0" i="0" u="none" strike="noStrike" kern="1200" baseline="0">
      <a:effectLst/>
    </cs:defRPr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tx1"/>
    </cs:fontRef>
    <cs:spPr>
      <a:solidFill>
        <a:schemeClr val="phClr">
          <a:alpha val="90000"/>
        </a:schemeClr>
      </a:solidFill>
      <a:ln w="19050">
        <a:solidFill>
          <a:schemeClr val="phClr">
            <a:lumMod val="75000"/>
          </a:schemeClr>
        </a:solidFill>
      </a:ln>
      <a:effectLst>
        <a:innerShdw blurRad="114300">
          <a:schemeClr val="phClr">
            <a:lumMod val="75000"/>
          </a:schemeClr>
        </a:innerShdw>
      </a:effectLst>
      <a:scene3d>
        <a:camera prst="orthographicFront"/>
        <a:lightRig rig="threePt" dir="t"/>
      </a:scene3d>
      <a:sp3d contourW="19050" prstMaterial="flat">
        <a:contourClr>
          <a:schemeClr val="accent4">
            <a:lumMod val="75000"/>
          </a:schemeClr>
        </a:contourClr>
      </a:sp3d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63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>
      <cs:styleClr val="auto"/>
    </cs:lnRef>
    <cs:fillRef idx="0"/>
    <cs:effectRef idx="0">
      <cs:styleClr val="auto"/>
    </cs:effectRef>
    <cs:fontRef idx="minor">
      <cs:styleClr val="auto"/>
    </cs:fontRef>
    <cs:spPr>
      <a:solidFill>
        <a:schemeClr val="lt1">
          <a:alpha val="90000"/>
        </a:schemeClr>
      </a:solidFill>
      <a:ln w="12700" cap="flat" cmpd="sng" algn="ctr">
        <a:solidFill>
          <a:schemeClr val="phClr"/>
        </a:solidFill>
        <a:round/>
      </a:ln>
      <a:effectLst>
        <a:outerShdw blurRad="50800" dist="38100" dir="2700000" algn="tl" rotWithShape="0">
          <a:schemeClr val="phClr">
            <a:lumMod val="75000"/>
            <a:alpha val="40000"/>
          </a:schemeClr>
        </a:outerShdw>
      </a:effectLst>
    </cs:spPr>
    <cs:defRPr sz="1000" b="0" i="0" u="none" strike="noStrike" kern="1200" baseline="0">
      <a:effectLst/>
    </cs:defRPr>
    <cs:bodyPr rot="0" spcFirstLastPara="1" vertOverflow="clip" horzOverflow="clip" vert="horz" wrap="square" lIns="38100" tIns="19050" rIns="38100" bIns="19050" anchor="ctr" anchorCtr="1">
      <a:spAutoFit/>
    </cs:bodyPr>
  </cs:dataLabel>
  <cs:dataLabelCallout>
    <cs:lnRef idx="0">
      <cs:styleClr val="auto"/>
    </cs:lnRef>
    <cs:fillRef idx="0"/>
    <cs:effectRef idx="0">
      <cs:styleClr val="auto"/>
    </cs:effectRef>
    <cs:fontRef idx="minor">
      <cs:styleClr val="auto"/>
    </cs:fontRef>
    <cs:spPr>
      <a:solidFill>
        <a:schemeClr val="lt1">
          <a:alpha val="90000"/>
        </a:schemeClr>
      </a:solidFill>
      <a:ln w="12700" cap="flat" cmpd="sng" algn="ctr">
        <a:solidFill>
          <a:schemeClr val="phClr"/>
        </a:solidFill>
        <a:round/>
      </a:ln>
      <a:effectLst>
        <a:outerShdw blurRad="50800" dist="38100" dir="2700000" algn="tl" rotWithShape="0">
          <a:schemeClr val="phClr">
            <a:lumMod val="75000"/>
            <a:alpha val="40000"/>
          </a:schemeClr>
        </a:outerShdw>
      </a:effectLst>
    </cs:spPr>
    <cs:defRPr sz="1000" b="0" i="0" u="none" strike="noStrike" kern="1200" baseline="0">
      <a:effectLst/>
    </cs:defRPr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tx1"/>
    </cs:fontRef>
    <cs:spPr>
      <a:solidFill>
        <a:schemeClr val="phClr">
          <a:alpha val="90000"/>
        </a:schemeClr>
      </a:solidFill>
      <a:ln w="19050">
        <a:solidFill>
          <a:schemeClr val="phClr">
            <a:lumMod val="75000"/>
          </a:schemeClr>
        </a:solidFill>
      </a:ln>
      <a:effectLst>
        <a:innerShdw blurRad="114300">
          <a:schemeClr val="phClr">
            <a:lumMod val="75000"/>
          </a:schemeClr>
        </a:innerShdw>
      </a:effectLst>
      <a:scene3d>
        <a:camera prst="orthographicFront"/>
        <a:lightRig rig="threePt" dir="t"/>
      </a:scene3d>
      <a:sp3d contourW="19050" prstMaterial="flat">
        <a:contourClr>
          <a:schemeClr val="accent4">
            <a:lumMod val="75000"/>
          </a:schemeClr>
        </a:contourClr>
      </a:sp3d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63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>
      <cs:styleClr val="auto"/>
    </cs:lnRef>
    <cs:fillRef idx="0"/>
    <cs:effectRef idx="0">
      <cs:styleClr val="auto"/>
    </cs:effectRef>
    <cs:fontRef idx="minor">
      <cs:styleClr val="auto"/>
    </cs:fontRef>
    <cs:spPr>
      <a:solidFill>
        <a:schemeClr val="lt1">
          <a:alpha val="90000"/>
        </a:schemeClr>
      </a:solidFill>
      <a:ln w="12700" cap="flat" cmpd="sng" algn="ctr">
        <a:solidFill>
          <a:schemeClr val="phClr"/>
        </a:solidFill>
        <a:round/>
      </a:ln>
      <a:effectLst>
        <a:outerShdw blurRad="50800" dist="38100" dir="2700000" algn="tl" rotWithShape="0">
          <a:schemeClr val="phClr">
            <a:lumMod val="75000"/>
            <a:alpha val="40000"/>
          </a:schemeClr>
        </a:outerShdw>
      </a:effectLst>
    </cs:spPr>
    <cs:defRPr sz="1000" b="0" i="0" u="none" strike="noStrike" kern="1200" baseline="0">
      <a:effectLst/>
    </cs:defRPr>
    <cs:bodyPr rot="0" spcFirstLastPara="1" vertOverflow="clip" horzOverflow="clip" vert="horz" wrap="square" lIns="38100" tIns="19050" rIns="38100" bIns="19050" anchor="ctr" anchorCtr="1">
      <a:spAutoFit/>
    </cs:bodyPr>
  </cs:dataLabel>
  <cs:dataLabelCallout>
    <cs:lnRef idx="0">
      <cs:styleClr val="auto"/>
    </cs:lnRef>
    <cs:fillRef idx="0"/>
    <cs:effectRef idx="0">
      <cs:styleClr val="auto"/>
    </cs:effectRef>
    <cs:fontRef idx="minor">
      <cs:styleClr val="auto"/>
    </cs:fontRef>
    <cs:spPr>
      <a:solidFill>
        <a:schemeClr val="lt1">
          <a:alpha val="90000"/>
        </a:schemeClr>
      </a:solidFill>
      <a:ln w="12700" cap="flat" cmpd="sng" algn="ctr">
        <a:solidFill>
          <a:schemeClr val="phClr"/>
        </a:solidFill>
        <a:round/>
      </a:ln>
      <a:effectLst>
        <a:outerShdw blurRad="50800" dist="38100" dir="2700000" algn="tl" rotWithShape="0">
          <a:schemeClr val="phClr">
            <a:lumMod val="75000"/>
            <a:alpha val="40000"/>
          </a:schemeClr>
        </a:outerShdw>
      </a:effectLst>
    </cs:spPr>
    <cs:defRPr sz="1000" b="0" i="0" u="none" strike="noStrike" kern="1200" baseline="0">
      <a:effectLst/>
    </cs:defRPr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tx1"/>
    </cs:fontRef>
    <cs:spPr>
      <a:solidFill>
        <a:schemeClr val="phClr">
          <a:alpha val="90000"/>
        </a:schemeClr>
      </a:solidFill>
      <a:ln w="19050">
        <a:solidFill>
          <a:schemeClr val="phClr">
            <a:lumMod val="75000"/>
          </a:schemeClr>
        </a:solidFill>
      </a:ln>
      <a:effectLst>
        <a:innerShdw blurRad="114300">
          <a:schemeClr val="phClr">
            <a:lumMod val="75000"/>
          </a:schemeClr>
        </a:innerShdw>
      </a:effectLst>
      <a:scene3d>
        <a:camera prst="orthographicFront"/>
        <a:lightRig rig="threePt" dir="t"/>
      </a:scene3d>
      <a:sp3d contourW="19050" prstMaterial="flat">
        <a:contourClr>
          <a:schemeClr val="accent4">
            <a:lumMod val="75000"/>
          </a:schemeClr>
        </a:contourClr>
      </a:sp3d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image" Target="../media/image1.png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14270</xdr:colOff>
      <xdr:row>84</xdr:row>
      <xdr:rowOff>71346</xdr:rowOff>
    </xdr:from>
    <xdr:to>
      <xdr:col>2</xdr:col>
      <xdr:colOff>14271</xdr:colOff>
      <xdr:row>94</xdr:row>
      <xdr:rowOff>28539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</xdr:col>
      <xdr:colOff>39765</xdr:colOff>
      <xdr:row>84</xdr:row>
      <xdr:rowOff>67730</xdr:rowOff>
    </xdr:from>
    <xdr:to>
      <xdr:col>4</xdr:col>
      <xdr:colOff>520842</xdr:colOff>
      <xdr:row>94</xdr:row>
      <xdr:rowOff>21403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4</xdr:col>
      <xdr:colOff>549627</xdr:colOff>
      <xdr:row>84</xdr:row>
      <xdr:rowOff>67585</xdr:rowOff>
    </xdr:from>
    <xdr:to>
      <xdr:col>6</xdr:col>
      <xdr:colOff>991742</xdr:colOff>
      <xdr:row>94</xdr:row>
      <xdr:rowOff>21404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0</xdr:colOff>
      <xdr:row>94</xdr:row>
      <xdr:rowOff>117593</xdr:rowOff>
    </xdr:from>
    <xdr:to>
      <xdr:col>6</xdr:col>
      <xdr:colOff>931332</xdr:colOff>
      <xdr:row>106</xdr:row>
      <xdr:rowOff>178740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oneCellAnchor>
    <xdr:from>
      <xdr:col>0</xdr:col>
      <xdr:colOff>0</xdr:colOff>
      <xdr:row>117</xdr:row>
      <xdr:rowOff>120430</xdr:rowOff>
    </xdr:from>
    <xdr:ext cx="4546600" cy="2082800"/>
    <xdr:pic>
      <xdr:nvPicPr>
        <xdr:cNvPr id="6" name="Picture 5">
          <a:extLst>
            <a:ext uri="{FF2B5EF4-FFF2-40B4-BE49-F238E27FC236}">
              <a16:creationId xmlns:a16="http://schemas.microsoft.com/office/drawing/2014/main" id="{6BAFD066-0CD1-8A48-88A4-713EB5E0D8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22016982"/>
          <a:ext cx="4546600" cy="2082800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7FC297C-22B3-3349-BD02-F136FCDE620A}" name="Table1" displayName="Table1" ref="F110:G116" totalsRowShown="0" dataDxfId="9">
  <tableColumns count="2">
    <tableColumn id="1" xr3:uid="{0446CF7D-CAB3-0C41-9125-A5BB7F5478FF}" name="Value" dataDxfId="8"/>
    <tableColumn id="2" xr3:uid="{2E42E5D9-7343-734B-8D1B-3FA7D720272A}" name="Format" dataDxfId="7"/>
  </tableColumns>
  <tableStyleInfo name="TableStyleLight1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DA7A289E-2815-1640-9AE0-608C4047C569}" name="Table111" displayName="Table111" ref="A110:B117" totalsRowShown="0" dataDxfId="6">
  <tableColumns count="2">
    <tableColumn id="1" xr3:uid="{EEBF4F21-A123-9E4B-903E-6ABA7FC5B378}" name="Value" dataDxfId="5"/>
    <tableColumn id="2" xr3:uid="{E586418E-DA1A-6747-ADFB-E103B42F7FEB}" name="Format" dataDxfId="4"/>
  </tableColumns>
  <tableStyleInfo name="TableStyleLight1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82DFC3D-52D5-DF45-9142-797487AFE2D0}" name="Table26" displayName="Table26" ref="A18:C34" totalsRowShown="0">
  <tableColumns count="3">
    <tableColumn id="1" xr3:uid="{F60D4879-AF90-294A-A38A-8D6381C2598D}" name="dimensions"/>
    <tableColumn id="2" xr3:uid="{CE874303-6FF8-3442-9BA5-81CA9605188A}" name="height"/>
    <tableColumn id="3" xr3:uid="{151B954A-191E-7048-ADEF-A9A31EE1F557}" name="wall_area" dataDxfId="3">
      <calculatedColumnFormula>Table26[[#This Row],[dimensions]]*Table26[[#This Row],[height]]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44B494F-83A9-3B4E-9215-F02BDEA53BF8}" name="Table245" displayName="Table245" ref="E18:H31" totalsRowShown="0">
  <tableColumns count="4">
    <tableColumn id="1" xr3:uid="{8E4B4829-CF3B-4147-B149-C9291A23BD5E}" name="dimensions"/>
    <tableColumn id="2" xr3:uid="{40ACCDC5-59BE-B049-9A59-DBDF7E3C98FC}" name="dimensions2"/>
    <tableColumn id="4" xr3:uid="{EE12D38F-2EB4-5A44-AD87-C9BEE66B482E}" name="number"/>
    <tableColumn id="3" xr3:uid="{C76C5472-19CC-964A-9600-CECF6BB779FC}" name="door_area" dataDxfId="2">
      <calculatedColumnFormula>Table245[[#This Row],[dimensions]]*Table245[[#This Row],[dimensions2]]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BBB5EC2-317C-CA4D-8C87-496F911DB02E}" name="Table24" displayName="Table24" ref="E2:H15" totalsRowShown="0">
  <tableColumns count="4">
    <tableColumn id="1" xr3:uid="{D898EDAE-EEE9-5347-A7CE-2D169D812BC8}" name="dimensions"/>
    <tableColumn id="2" xr3:uid="{855A43B5-F115-4D46-A6FC-125692299968}" name="dimensions2"/>
    <tableColumn id="4" xr3:uid="{A88706ED-5FC3-5F40-A51C-90AEB1D087C4}" name="number"/>
    <tableColumn id="3" xr3:uid="{AE90E966-2F63-B843-9F7A-81907FFAFB51}" name="window_area" dataDxfId="1">
      <calculatedColumnFormula>Table24[[#This Row],[dimensions]]*Table24[[#This Row],[dimensions2]]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1037442-201B-8F41-A8C2-66C1C805223D}" name="Table2" displayName="Table2" ref="A2:C15" totalsRowShown="0">
  <tableColumns count="3">
    <tableColumn id="1" xr3:uid="{C5C21422-2CE5-034C-A76E-C97C3CBF3186}" name="dimensions"/>
    <tableColumn id="2" xr3:uid="{B5911DA1-7C22-E14E-839B-07A0932CAA29}" name="dimensions2"/>
    <tableColumn id="3" xr3:uid="{E93A1CDD-733C-2744-AE46-FA37B0D1CB12}" name="section_area" dataDxfId="0">
      <calculatedColumnFormula>Table2[[#This Row],[dimensions]]*Table2[[#This Row],[dimensions2]]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table" Target="../tables/table3.xml"/><Relationship Id="rId4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0" tint="-0.14999847407452621"/>
  </sheetPr>
  <dimension ref="A1:R163"/>
  <sheetViews>
    <sheetView tabSelected="1" zoomScale="50" zoomScaleNormal="150" workbookViewId="0">
      <selection activeCell="J31" sqref="J31"/>
    </sheetView>
  </sheetViews>
  <sheetFormatPr baseColWidth="10" defaultColWidth="8.6640625" defaultRowHeight="15" customHeight="1" x14ac:dyDescent="0.2"/>
  <cols>
    <col min="1" max="1" width="13.83203125" customWidth="1"/>
    <col min="2" max="2" width="12.5" customWidth="1"/>
    <col min="3" max="5" width="10" customWidth="1"/>
    <col min="6" max="6" width="10.6640625" customWidth="1"/>
    <col min="7" max="9" width="14" customWidth="1"/>
    <col min="10" max="10" width="13.1640625" customWidth="1"/>
    <col min="11" max="11" width="14" customWidth="1"/>
    <col min="12" max="12" width="12" customWidth="1"/>
    <col min="13" max="13" width="11" customWidth="1"/>
    <col min="14" max="14" width="13.1640625" bestFit="1" customWidth="1"/>
    <col min="15" max="15" width="14" customWidth="1"/>
    <col min="16" max="16" width="12" customWidth="1"/>
    <col min="17" max="17" width="13.5" bestFit="1" customWidth="1"/>
    <col min="18" max="18" width="12.6640625" bestFit="1" customWidth="1"/>
    <col min="19" max="19" width="14" customWidth="1"/>
    <col min="20" max="20" width="12" customWidth="1"/>
    <col min="21" max="21" width="11" customWidth="1"/>
  </cols>
  <sheetData>
    <row r="1" spans="1:10" ht="15" customHeight="1" x14ac:dyDescent="0.2">
      <c r="A1" s="1" t="s">
        <v>153</v>
      </c>
      <c r="B1" s="1" t="s">
        <v>154</v>
      </c>
      <c r="C1" s="1" t="s">
        <v>157</v>
      </c>
      <c r="D1" s="1" t="s">
        <v>149</v>
      </c>
      <c r="E1" s="1" t="s">
        <v>155</v>
      </c>
      <c r="F1" s="1" t="s">
        <v>156</v>
      </c>
      <c r="G1" s="1" t="s">
        <v>158</v>
      </c>
      <c r="H1" s="1" t="s">
        <v>150</v>
      </c>
      <c r="I1" s="1" t="s">
        <v>152</v>
      </c>
      <c r="J1" s="1" t="s">
        <v>151</v>
      </c>
    </row>
    <row r="2" spans="1:10" ht="15" customHeight="1" x14ac:dyDescent="0.2">
      <c r="A2" s="54">
        <v>127</v>
      </c>
      <c r="B2" s="55">
        <v>127</v>
      </c>
      <c r="C2" s="56">
        <v>127</v>
      </c>
      <c r="D2" s="51">
        <v>127</v>
      </c>
      <c r="E2" s="53">
        <v>127</v>
      </c>
      <c r="F2" s="52">
        <v>127</v>
      </c>
      <c r="G2" s="57">
        <v>127</v>
      </c>
      <c r="H2" s="3">
        <v>127</v>
      </c>
      <c r="I2" s="3">
        <v>127</v>
      </c>
      <c r="J2" s="3">
        <v>127</v>
      </c>
    </row>
    <row r="3" spans="1:10" ht="15" customHeight="1" x14ac:dyDescent="0.2">
      <c r="A3" s="54">
        <v>130</v>
      </c>
      <c r="B3" s="55">
        <v>130</v>
      </c>
      <c r="C3" s="56">
        <v>130</v>
      </c>
      <c r="D3" s="51">
        <v>130</v>
      </c>
      <c r="E3" s="53">
        <v>130</v>
      </c>
      <c r="F3" s="52">
        <v>130</v>
      </c>
      <c r="G3" s="57">
        <v>130</v>
      </c>
      <c r="H3" s="3">
        <v>130</v>
      </c>
      <c r="I3" s="3">
        <v>130</v>
      </c>
      <c r="J3" s="3">
        <v>130</v>
      </c>
    </row>
    <row r="4" spans="1:10" ht="15" customHeight="1" x14ac:dyDescent="0.2">
      <c r="A4" s="54">
        <v>159</v>
      </c>
      <c r="B4" s="55">
        <v>159</v>
      </c>
      <c r="C4" s="56">
        <v>159</v>
      </c>
      <c r="D4" s="51">
        <v>159</v>
      </c>
      <c r="E4" s="53">
        <v>159</v>
      </c>
      <c r="F4" s="52">
        <v>159</v>
      </c>
      <c r="G4" s="57">
        <v>159</v>
      </c>
      <c r="H4" s="3">
        <v>159</v>
      </c>
      <c r="I4" s="3">
        <v>159</v>
      </c>
      <c r="J4" s="3">
        <v>159</v>
      </c>
    </row>
    <row r="5" spans="1:10" ht="15" customHeight="1" x14ac:dyDescent="0.2">
      <c r="A5" s="54">
        <v>191</v>
      </c>
      <c r="B5" s="55">
        <v>191</v>
      </c>
      <c r="C5" s="56">
        <v>191</v>
      </c>
      <c r="D5" s="51">
        <v>191</v>
      </c>
      <c r="E5" s="53">
        <v>191</v>
      </c>
      <c r="F5" s="52">
        <v>191</v>
      </c>
      <c r="G5" s="57">
        <v>191</v>
      </c>
      <c r="H5" s="3">
        <v>191</v>
      </c>
      <c r="I5" s="3">
        <v>191</v>
      </c>
      <c r="J5" s="3">
        <v>191</v>
      </c>
    </row>
    <row r="6" spans="1:10" ht="15" customHeight="1" x14ac:dyDescent="0.2">
      <c r="A6" s="54">
        <v>180</v>
      </c>
      <c r="B6" s="55">
        <v>180</v>
      </c>
      <c r="C6" s="56">
        <v>180</v>
      </c>
      <c r="D6" s="51">
        <v>180</v>
      </c>
      <c r="E6" s="53">
        <v>180</v>
      </c>
      <c r="F6" s="52">
        <v>180</v>
      </c>
      <c r="G6" s="57">
        <v>180</v>
      </c>
      <c r="H6" s="3">
        <v>180</v>
      </c>
      <c r="I6" s="3">
        <v>180</v>
      </c>
      <c r="J6" s="3">
        <v>180</v>
      </c>
    </row>
    <row r="7" spans="1:10" ht="15" customHeight="1" x14ac:dyDescent="0.2">
      <c r="A7" s="54">
        <v>176</v>
      </c>
      <c r="B7" s="55">
        <v>176</v>
      </c>
      <c r="C7" s="56">
        <v>176</v>
      </c>
      <c r="D7" s="51">
        <v>176</v>
      </c>
      <c r="E7" s="53">
        <v>176</v>
      </c>
      <c r="F7" s="52">
        <v>176</v>
      </c>
      <c r="G7" s="57">
        <v>176</v>
      </c>
      <c r="H7" s="3">
        <v>176</v>
      </c>
      <c r="I7" s="3">
        <v>176</v>
      </c>
      <c r="J7" s="3">
        <v>176</v>
      </c>
    </row>
    <row r="8" spans="1:10" ht="15" customHeight="1" x14ac:dyDescent="0.2">
      <c r="A8" s="54">
        <v>179</v>
      </c>
      <c r="B8" s="55">
        <v>179</v>
      </c>
      <c r="C8" s="56">
        <v>179</v>
      </c>
      <c r="D8" s="51">
        <v>179</v>
      </c>
      <c r="E8" s="53">
        <v>179</v>
      </c>
      <c r="F8" s="52">
        <v>179</v>
      </c>
      <c r="G8" s="57">
        <v>179</v>
      </c>
      <c r="H8" s="3">
        <v>179</v>
      </c>
      <c r="I8" s="3">
        <v>179</v>
      </c>
      <c r="J8" s="3">
        <v>179</v>
      </c>
    </row>
    <row r="9" spans="1:10" ht="15" customHeight="1" x14ac:dyDescent="0.2">
      <c r="A9" s="54">
        <v>74</v>
      </c>
      <c r="B9" s="55">
        <v>74</v>
      </c>
      <c r="C9" s="56">
        <v>74</v>
      </c>
      <c r="D9" s="51">
        <v>74</v>
      </c>
      <c r="E9" s="53">
        <v>74</v>
      </c>
      <c r="F9" s="52">
        <v>74</v>
      </c>
      <c r="G9" s="57">
        <v>74</v>
      </c>
      <c r="H9" s="3">
        <v>74</v>
      </c>
      <c r="I9" s="3">
        <v>74</v>
      </c>
      <c r="J9" s="3">
        <v>74</v>
      </c>
    </row>
    <row r="10" spans="1:10" ht="15" customHeight="1" x14ac:dyDescent="0.2">
      <c r="A10" s="54">
        <v>99</v>
      </c>
      <c r="B10" s="55">
        <v>99</v>
      </c>
      <c r="C10" s="56">
        <v>99</v>
      </c>
      <c r="D10" s="51">
        <v>99</v>
      </c>
      <c r="E10" s="53">
        <v>99</v>
      </c>
      <c r="F10" s="52">
        <v>99</v>
      </c>
      <c r="G10" s="57">
        <v>99</v>
      </c>
      <c r="H10" s="3">
        <v>99</v>
      </c>
      <c r="I10" s="3">
        <v>99</v>
      </c>
      <c r="J10" s="3">
        <v>99</v>
      </c>
    </row>
    <row r="11" spans="1:10" ht="15" customHeight="1" x14ac:dyDescent="0.2">
      <c r="A11" s="54">
        <v>131</v>
      </c>
      <c r="B11" s="55">
        <v>131</v>
      </c>
      <c r="C11" s="56">
        <v>131</v>
      </c>
      <c r="D11" s="51">
        <v>131</v>
      </c>
      <c r="E11" s="53">
        <v>131</v>
      </c>
      <c r="F11" s="52">
        <v>131</v>
      </c>
      <c r="G11" s="57">
        <v>131</v>
      </c>
      <c r="H11" s="3">
        <v>131</v>
      </c>
      <c r="I11" s="3">
        <v>131</v>
      </c>
      <c r="J11" s="3">
        <v>131</v>
      </c>
    </row>
    <row r="12" spans="1:10" ht="15" customHeight="1" x14ac:dyDescent="0.2">
      <c r="A12" s="54">
        <v>126</v>
      </c>
      <c r="B12" s="55">
        <v>126</v>
      </c>
      <c r="C12" s="56">
        <v>126</v>
      </c>
      <c r="D12" s="51">
        <v>126</v>
      </c>
      <c r="E12" s="53">
        <v>126</v>
      </c>
      <c r="F12" s="52">
        <v>126</v>
      </c>
      <c r="G12" s="57">
        <v>126</v>
      </c>
      <c r="H12" s="3">
        <v>126</v>
      </c>
      <c r="I12" s="3">
        <v>126</v>
      </c>
      <c r="J12" s="3">
        <v>126</v>
      </c>
    </row>
    <row r="13" spans="1:10" ht="15" customHeight="1" x14ac:dyDescent="0.2">
      <c r="A13" s="54">
        <v>144</v>
      </c>
      <c r="B13" s="55">
        <v>144</v>
      </c>
      <c r="C13" s="56">
        <v>144</v>
      </c>
      <c r="D13" s="51">
        <v>144</v>
      </c>
      <c r="E13" s="53">
        <v>144</v>
      </c>
      <c r="F13" s="52">
        <v>144</v>
      </c>
      <c r="G13" s="57">
        <v>144</v>
      </c>
      <c r="H13" s="3">
        <v>144</v>
      </c>
      <c r="I13" s="3">
        <v>144</v>
      </c>
      <c r="J13" s="3">
        <v>144</v>
      </c>
    </row>
    <row r="14" spans="1:10" ht="15" customHeight="1" thickBot="1" x14ac:dyDescent="0.25"/>
    <row r="15" spans="1:10" ht="15" customHeight="1" thickBot="1" x14ac:dyDescent="0.25">
      <c r="A15" s="98" t="s">
        <v>143</v>
      </c>
      <c r="B15" s="98"/>
      <c r="C15" s="98"/>
      <c r="D15" s="98"/>
      <c r="E15" s="98"/>
      <c r="F15" s="98"/>
      <c r="G15" s="98"/>
    </row>
    <row r="16" spans="1:10" ht="15" customHeight="1" thickBot="1" x14ac:dyDescent="0.25">
      <c r="A16" s="48" t="s">
        <v>0</v>
      </c>
      <c r="B16" s="49" t="s">
        <v>102</v>
      </c>
      <c r="C16" s="49" t="s">
        <v>140</v>
      </c>
      <c r="D16" s="49" t="s">
        <v>146</v>
      </c>
      <c r="E16" s="49" t="s">
        <v>147</v>
      </c>
      <c r="F16" s="49" t="s">
        <v>148</v>
      </c>
      <c r="G16" s="49" t="s">
        <v>133</v>
      </c>
    </row>
    <row r="17" spans="1:7" ht="15" customHeight="1" x14ac:dyDescent="0.2">
      <c r="A17" s="2" t="s">
        <v>3</v>
      </c>
      <c r="B17" s="35">
        <f>Energy_calc!B4</f>
        <v>127</v>
      </c>
      <c r="C17" s="35">
        <f>Energy_calc!F4</f>
        <v>127</v>
      </c>
      <c r="D17" s="36">
        <f>Energy_calc!G4</f>
        <v>1206.5</v>
      </c>
      <c r="E17" s="36">
        <v>0</v>
      </c>
      <c r="F17" s="36">
        <f t="shared" ref="F17:F28" si="0">E17*6.98</f>
        <v>0</v>
      </c>
      <c r="G17" s="36">
        <f t="shared" ref="G17:G29" si="1">B17+D17+F17</f>
        <v>1333.5</v>
      </c>
    </row>
    <row r="18" spans="1:7" ht="15" customHeight="1" x14ac:dyDescent="0.2">
      <c r="A18" s="2" t="s">
        <v>4</v>
      </c>
      <c r="B18" s="35">
        <f>Energy_calc!B5</f>
        <v>130</v>
      </c>
      <c r="C18" s="35">
        <f>Energy_calc!F5</f>
        <v>130</v>
      </c>
      <c r="D18" s="36">
        <f>Energy_calc!G5</f>
        <v>1235</v>
      </c>
      <c r="E18" s="36">
        <v>0</v>
      </c>
      <c r="F18" s="36">
        <f t="shared" si="0"/>
        <v>0</v>
      </c>
      <c r="G18" s="36">
        <f t="shared" si="1"/>
        <v>1365</v>
      </c>
    </row>
    <row r="19" spans="1:7" ht="15" customHeight="1" x14ac:dyDescent="0.2">
      <c r="A19" s="2" t="s">
        <v>5</v>
      </c>
      <c r="B19" s="35">
        <f>Energy_calc!B6</f>
        <v>159</v>
      </c>
      <c r="C19" s="35">
        <f>Energy_calc!F6</f>
        <v>159</v>
      </c>
      <c r="D19" s="36">
        <f>Energy_calc!G6</f>
        <v>1510.5</v>
      </c>
      <c r="E19" s="36">
        <v>0</v>
      </c>
      <c r="F19" s="36">
        <f t="shared" si="0"/>
        <v>0</v>
      </c>
      <c r="G19" s="36">
        <f t="shared" si="1"/>
        <v>1669.5</v>
      </c>
    </row>
    <row r="20" spans="1:7" ht="15" customHeight="1" x14ac:dyDescent="0.2">
      <c r="A20" s="2" t="s">
        <v>6</v>
      </c>
      <c r="B20" s="35">
        <f>Energy_calc!B7</f>
        <v>191</v>
      </c>
      <c r="C20" s="35">
        <f>Energy_calc!F7</f>
        <v>191</v>
      </c>
      <c r="D20" s="36">
        <f>Energy_calc!G7</f>
        <v>1814.5</v>
      </c>
      <c r="E20" s="36">
        <v>0</v>
      </c>
      <c r="F20" s="36">
        <f t="shared" si="0"/>
        <v>0</v>
      </c>
      <c r="G20" s="36">
        <f t="shared" si="1"/>
        <v>2005.5</v>
      </c>
    </row>
    <row r="21" spans="1:7" ht="15" customHeight="1" x14ac:dyDescent="0.2">
      <c r="A21" s="2" t="s">
        <v>7</v>
      </c>
      <c r="B21" s="35">
        <f>Energy_calc!B8</f>
        <v>180</v>
      </c>
      <c r="C21" s="35">
        <f>Energy_calc!F8</f>
        <v>180</v>
      </c>
      <c r="D21" s="36">
        <f>Energy_calc!G8</f>
        <v>1710</v>
      </c>
      <c r="E21" s="36">
        <v>0</v>
      </c>
      <c r="F21" s="36">
        <f t="shared" si="0"/>
        <v>0</v>
      </c>
      <c r="G21" s="36">
        <f t="shared" si="1"/>
        <v>1890</v>
      </c>
    </row>
    <row r="22" spans="1:7" ht="15" customHeight="1" x14ac:dyDescent="0.2">
      <c r="A22" s="2" t="s">
        <v>8</v>
      </c>
      <c r="B22" s="35">
        <f>Energy_calc!B9</f>
        <v>176</v>
      </c>
      <c r="C22" s="35">
        <f>Energy_calc!F9</f>
        <v>176</v>
      </c>
      <c r="D22" s="36">
        <f>Energy_calc!G9</f>
        <v>1672</v>
      </c>
      <c r="E22" s="36">
        <v>0</v>
      </c>
      <c r="F22" s="36">
        <f t="shared" si="0"/>
        <v>0</v>
      </c>
      <c r="G22" s="36">
        <f t="shared" si="1"/>
        <v>1848</v>
      </c>
    </row>
    <row r="23" spans="1:7" ht="15" customHeight="1" x14ac:dyDescent="0.2">
      <c r="A23" s="2" t="s">
        <v>9</v>
      </c>
      <c r="B23" s="35">
        <f>Energy_calc!B10</f>
        <v>179</v>
      </c>
      <c r="C23" s="35">
        <f>Energy_calc!F10</f>
        <v>179</v>
      </c>
      <c r="D23" s="36">
        <f>Energy_calc!G10</f>
        <v>1700.5</v>
      </c>
      <c r="E23" s="36">
        <v>0</v>
      </c>
      <c r="F23" s="36">
        <f t="shared" si="0"/>
        <v>0</v>
      </c>
      <c r="G23" s="36">
        <f t="shared" si="1"/>
        <v>1879.5</v>
      </c>
    </row>
    <row r="24" spans="1:7" ht="15" customHeight="1" x14ac:dyDescent="0.2">
      <c r="A24" s="2" t="s">
        <v>10</v>
      </c>
      <c r="B24" s="35">
        <f>Energy_calc!B11</f>
        <v>74</v>
      </c>
      <c r="C24" s="35">
        <f>Energy_calc!F11</f>
        <v>74</v>
      </c>
      <c r="D24" s="36">
        <f>Energy_calc!G11</f>
        <v>703</v>
      </c>
      <c r="E24" s="36">
        <v>0</v>
      </c>
      <c r="F24" s="36">
        <f t="shared" si="0"/>
        <v>0</v>
      </c>
      <c r="G24" s="36">
        <f t="shared" si="1"/>
        <v>777</v>
      </c>
    </row>
    <row r="25" spans="1:7" ht="15" customHeight="1" x14ac:dyDescent="0.2">
      <c r="A25" s="2" t="s">
        <v>11</v>
      </c>
      <c r="B25" s="35">
        <f>Energy_calc!B12</f>
        <v>99</v>
      </c>
      <c r="C25" s="35">
        <f>Energy_calc!F12</f>
        <v>99</v>
      </c>
      <c r="D25" s="36">
        <f>Energy_calc!G12</f>
        <v>940.5</v>
      </c>
      <c r="E25" s="36">
        <v>0</v>
      </c>
      <c r="F25" s="36">
        <f t="shared" si="0"/>
        <v>0</v>
      </c>
      <c r="G25" s="36">
        <f t="shared" si="1"/>
        <v>1039.5</v>
      </c>
    </row>
    <row r="26" spans="1:7" ht="15" customHeight="1" x14ac:dyDescent="0.2">
      <c r="A26" s="2" t="s">
        <v>12</v>
      </c>
      <c r="B26" s="35">
        <f>Energy_calc!B13</f>
        <v>131</v>
      </c>
      <c r="C26" s="35">
        <f>Energy_calc!F13</f>
        <v>131</v>
      </c>
      <c r="D26" s="36">
        <f>Energy_calc!G13</f>
        <v>1244.5</v>
      </c>
      <c r="E26" s="36">
        <v>0</v>
      </c>
      <c r="F26" s="36">
        <f t="shared" si="0"/>
        <v>0</v>
      </c>
      <c r="G26" s="36">
        <f t="shared" si="1"/>
        <v>1375.5</v>
      </c>
    </row>
    <row r="27" spans="1:7" ht="15" customHeight="1" x14ac:dyDescent="0.2">
      <c r="A27" s="2" t="s">
        <v>13</v>
      </c>
      <c r="B27" s="35">
        <f>Energy_calc!B14</f>
        <v>126</v>
      </c>
      <c r="C27" s="35">
        <f>Energy_calc!F14</f>
        <v>126</v>
      </c>
      <c r="D27" s="36">
        <f>Energy_calc!G14</f>
        <v>1197</v>
      </c>
      <c r="E27" s="36">
        <v>0</v>
      </c>
      <c r="F27" s="36">
        <f t="shared" si="0"/>
        <v>0</v>
      </c>
      <c r="G27" s="36">
        <f t="shared" si="1"/>
        <v>1323</v>
      </c>
    </row>
    <row r="28" spans="1:7" ht="15" customHeight="1" x14ac:dyDescent="0.2">
      <c r="A28" s="31" t="s">
        <v>14</v>
      </c>
      <c r="B28" s="37">
        <f>Energy_calc!B15</f>
        <v>144</v>
      </c>
      <c r="C28" s="37">
        <f>Energy_calc!F15</f>
        <v>144</v>
      </c>
      <c r="D28" s="38">
        <f>Energy_calc!G15</f>
        <v>1368</v>
      </c>
      <c r="E28" s="38">
        <v>0</v>
      </c>
      <c r="F28" s="38">
        <f t="shared" si="0"/>
        <v>0</v>
      </c>
      <c r="G28" s="36">
        <f t="shared" si="1"/>
        <v>1512</v>
      </c>
    </row>
    <row r="29" spans="1:7" ht="15" customHeight="1" x14ac:dyDescent="0.2">
      <c r="A29" s="32" t="s">
        <v>15</v>
      </c>
      <c r="B29" s="39">
        <f>Energy_calc!B16</f>
        <v>1716</v>
      </c>
      <c r="C29" s="39">
        <f>Energy_calc!F16</f>
        <v>1716</v>
      </c>
      <c r="D29" s="39">
        <f>Energy_calc!G16</f>
        <v>16302</v>
      </c>
      <c r="E29" s="39">
        <f>SUM(E17:E28)</f>
        <v>0</v>
      </c>
      <c r="F29" s="39">
        <f>SUM(F17:F28)</f>
        <v>0</v>
      </c>
      <c r="G29" s="39">
        <f t="shared" si="1"/>
        <v>18018</v>
      </c>
    </row>
    <row r="30" spans="1:7" ht="15" customHeight="1" x14ac:dyDescent="0.2">
      <c r="A30" s="74" t="s">
        <v>134</v>
      </c>
      <c r="B30" s="75"/>
      <c r="C30" s="41">
        <f>Main!K76</f>
        <v>29995.68</v>
      </c>
      <c r="D30" s="42" t="s">
        <v>137</v>
      </c>
      <c r="E30" s="42"/>
      <c r="F30" s="41"/>
      <c r="G30" s="43"/>
    </row>
    <row r="31" spans="1:7" ht="15" customHeight="1" x14ac:dyDescent="0.2">
      <c r="A31" s="33" t="s">
        <v>135</v>
      </c>
      <c r="B31" s="30">
        <f>Main!M76</f>
        <v>0.54347826086956519</v>
      </c>
      <c r="C31" s="29" t="s">
        <v>138</v>
      </c>
      <c r="D31" s="30">
        <f>Main!L76</f>
        <v>5.7208237986270019E-2</v>
      </c>
      <c r="E31" s="29" t="s">
        <v>139</v>
      </c>
      <c r="F31" s="30">
        <f>Main!N76</f>
        <v>0.39931350114416481</v>
      </c>
      <c r="G31" s="45" t="s">
        <v>141</v>
      </c>
    </row>
    <row r="32" spans="1:7" ht="15" customHeight="1" x14ac:dyDescent="0.2">
      <c r="A32" s="74" t="s">
        <v>136</v>
      </c>
      <c r="B32" s="75"/>
      <c r="C32" s="44">
        <f>Main!O76/1000000</f>
        <v>2.8742999999999999</v>
      </c>
      <c r="D32" s="42" t="s">
        <v>142</v>
      </c>
      <c r="E32" s="41"/>
      <c r="F32" s="41"/>
      <c r="G32" s="43"/>
    </row>
    <row r="33" spans="1:7" ht="15" customHeight="1" thickBot="1" x14ac:dyDescent="0.25"/>
    <row r="34" spans="1:7" ht="15" customHeight="1" thickBot="1" x14ac:dyDescent="0.25">
      <c r="A34" s="98" t="s">
        <v>145</v>
      </c>
      <c r="B34" s="98"/>
      <c r="C34" s="98"/>
      <c r="D34" s="98"/>
      <c r="E34" s="98"/>
      <c r="F34" s="98"/>
      <c r="G34" s="98"/>
    </row>
    <row r="35" spans="1:7" ht="15" customHeight="1" thickBot="1" x14ac:dyDescent="0.25">
      <c r="A35" s="48" t="s">
        <v>0</v>
      </c>
      <c r="B35" s="49" t="s">
        <v>102</v>
      </c>
      <c r="C35" s="49" t="s">
        <v>140</v>
      </c>
      <c r="D35" s="49" t="s">
        <v>146</v>
      </c>
      <c r="E35" s="49" t="s">
        <v>147</v>
      </c>
      <c r="F35" s="49" t="s">
        <v>148</v>
      </c>
      <c r="G35" s="49" t="s">
        <v>133</v>
      </c>
    </row>
    <row r="36" spans="1:7" ht="15" customHeight="1" x14ac:dyDescent="0.2">
      <c r="A36" s="2" t="s">
        <v>3</v>
      </c>
      <c r="B36" s="35">
        <f>Energy_calc!B26</f>
        <v>127</v>
      </c>
      <c r="C36" s="35">
        <f>Energy_calc!L26</f>
        <v>127</v>
      </c>
      <c r="D36" s="36">
        <f>Energy_calc!M26</f>
        <v>1206.5</v>
      </c>
      <c r="E36" s="36">
        <f>Energy_calc!W26</f>
        <v>127</v>
      </c>
      <c r="F36" s="36">
        <f>Energy_calc!X26</f>
        <v>886.46</v>
      </c>
      <c r="G36" s="36">
        <f t="shared" ref="G36:G48" si="2">B36+D36+F36</f>
        <v>2219.96</v>
      </c>
    </row>
    <row r="37" spans="1:7" ht="15" customHeight="1" x14ac:dyDescent="0.2">
      <c r="A37" s="2" t="s">
        <v>4</v>
      </c>
      <c r="B37" s="35">
        <f>Energy_calc!B27</f>
        <v>130</v>
      </c>
      <c r="C37" s="35">
        <f>Energy_calc!L27</f>
        <v>130</v>
      </c>
      <c r="D37" s="36">
        <f>Energy_calc!M27</f>
        <v>1235</v>
      </c>
      <c r="E37" s="36">
        <f>Energy_calc!W27</f>
        <v>130</v>
      </c>
      <c r="F37" s="36">
        <f>Energy_calc!X27</f>
        <v>907.40000000000009</v>
      </c>
      <c r="G37" s="36">
        <f t="shared" si="2"/>
        <v>2272.4</v>
      </c>
    </row>
    <row r="38" spans="1:7" ht="15" customHeight="1" x14ac:dyDescent="0.2">
      <c r="A38" s="2" t="s">
        <v>5</v>
      </c>
      <c r="B38" s="35">
        <f>Energy_calc!B28</f>
        <v>159</v>
      </c>
      <c r="C38" s="35">
        <f>Energy_calc!L28</f>
        <v>159</v>
      </c>
      <c r="D38" s="36">
        <f>Energy_calc!M28</f>
        <v>1510.5</v>
      </c>
      <c r="E38" s="36">
        <f>Energy_calc!W28</f>
        <v>159</v>
      </c>
      <c r="F38" s="36">
        <f>Energy_calc!X28</f>
        <v>1109.8200000000002</v>
      </c>
      <c r="G38" s="36">
        <f t="shared" si="2"/>
        <v>2779.32</v>
      </c>
    </row>
    <row r="39" spans="1:7" ht="15" customHeight="1" x14ac:dyDescent="0.2">
      <c r="A39" s="2" t="s">
        <v>6</v>
      </c>
      <c r="B39" s="35">
        <f>Energy_calc!B29</f>
        <v>191</v>
      </c>
      <c r="C39" s="35">
        <f>Energy_calc!L29</f>
        <v>191</v>
      </c>
      <c r="D39" s="36">
        <f>Energy_calc!M29</f>
        <v>1814.5</v>
      </c>
      <c r="E39" s="36">
        <f>Energy_calc!W29</f>
        <v>191</v>
      </c>
      <c r="F39" s="36">
        <f>Energy_calc!X29</f>
        <v>1333.18</v>
      </c>
      <c r="G39" s="36">
        <f t="shared" si="2"/>
        <v>3338.6800000000003</v>
      </c>
    </row>
    <row r="40" spans="1:7" ht="15" customHeight="1" x14ac:dyDescent="0.2">
      <c r="A40" s="2" t="s">
        <v>7</v>
      </c>
      <c r="B40" s="35">
        <f>Energy_calc!B30</f>
        <v>180</v>
      </c>
      <c r="C40" s="35">
        <f>Energy_calc!L30</f>
        <v>180</v>
      </c>
      <c r="D40" s="36">
        <f>Energy_calc!M30</f>
        <v>1710</v>
      </c>
      <c r="E40" s="36">
        <f>Energy_calc!W30</f>
        <v>180</v>
      </c>
      <c r="F40" s="36">
        <f>Energy_calc!X30</f>
        <v>1256.4000000000001</v>
      </c>
      <c r="G40" s="36">
        <f t="shared" si="2"/>
        <v>3146.4</v>
      </c>
    </row>
    <row r="41" spans="1:7" ht="15" customHeight="1" x14ac:dyDescent="0.2">
      <c r="A41" s="2" t="s">
        <v>8</v>
      </c>
      <c r="B41" s="35">
        <f>Energy_calc!B31</f>
        <v>176</v>
      </c>
      <c r="C41" s="35">
        <f>Energy_calc!L31</f>
        <v>176</v>
      </c>
      <c r="D41" s="36">
        <f>Energy_calc!M31</f>
        <v>1672</v>
      </c>
      <c r="E41" s="36">
        <f>Energy_calc!W31</f>
        <v>176</v>
      </c>
      <c r="F41" s="36">
        <f>Energy_calc!X31</f>
        <v>1228.48</v>
      </c>
      <c r="G41" s="36">
        <f t="shared" si="2"/>
        <v>3076.48</v>
      </c>
    </row>
    <row r="42" spans="1:7" ht="15" customHeight="1" x14ac:dyDescent="0.2">
      <c r="A42" s="2" t="s">
        <v>9</v>
      </c>
      <c r="B42" s="35">
        <f>Energy_calc!B32</f>
        <v>179</v>
      </c>
      <c r="C42" s="35">
        <f>Energy_calc!L32</f>
        <v>179</v>
      </c>
      <c r="D42" s="36">
        <f>Energy_calc!M32</f>
        <v>1700.5</v>
      </c>
      <c r="E42" s="36">
        <f>Energy_calc!W32</f>
        <v>179</v>
      </c>
      <c r="F42" s="36">
        <f>Energy_calc!X32</f>
        <v>1249.42</v>
      </c>
      <c r="G42" s="36">
        <f t="shared" si="2"/>
        <v>3128.92</v>
      </c>
    </row>
    <row r="43" spans="1:7" ht="15" customHeight="1" x14ac:dyDescent="0.2">
      <c r="A43" s="2" t="s">
        <v>10</v>
      </c>
      <c r="B43" s="35">
        <f>Energy_calc!B33</f>
        <v>74</v>
      </c>
      <c r="C43" s="35">
        <f>Energy_calc!L33</f>
        <v>74</v>
      </c>
      <c r="D43" s="36">
        <f>Energy_calc!M33</f>
        <v>703</v>
      </c>
      <c r="E43" s="36">
        <f>Energy_calc!W33</f>
        <v>74</v>
      </c>
      <c r="F43" s="36">
        <f>Energy_calc!X33</f>
        <v>516.52</v>
      </c>
      <c r="G43" s="36">
        <f t="shared" si="2"/>
        <v>1293.52</v>
      </c>
    </row>
    <row r="44" spans="1:7" ht="15" customHeight="1" x14ac:dyDescent="0.2">
      <c r="A44" s="2" t="s">
        <v>11</v>
      </c>
      <c r="B44" s="35">
        <f>Energy_calc!B34</f>
        <v>99</v>
      </c>
      <c r="C44" s="35">
        <f>Energy_calc!L34</f>
        <v>99</v>
      </c>
      <c r="D44" s="36">
        <f>Energy_calc!M34</f>
        <v>940.5</v>
      </c>
      <c r="E44" s="36">
        <f>Energy_calc!W34</f>
        <v>99</v>
      </c>
      <c r="F44" s="36">
        <f>Energy_calc!X34</f>
        <v>691.0200000000001</v>
      </c>
      <c r="G44" s="36">
        <f t="shared" si="2"/>
        <v>1730.52</v>
      </c>
    </row>
    <row r="45" spans="1:7" ht="15" customHeight="1" x14ac:dyDescent="0.2">
      <c r="A45" s="2" t="s">
        <v>12</v>
      </c>
      <c r="B45" s="35">
        <f>Energy_calc!B35</f>
        <v>131</v>
      </c>
      <c r="C45" s="35">
        <f>Energy_calc!L35</f>
        <v>131</v>
      </c>
      <c r="D45" s="36">
        <f>Energy_calc!M35</f>
        <v>1244.5</v>
      </c>
      <c r="E45" s="36">
        <f>Energy_calc!W35</f>
        <v>131</v>
      </c>
      <c r="F45" s="36">
        <f>Energy_calc!X35</f>
        <v>914.38000000000011</v>
      </c>
      <c r="G45" s="36">
        <f t="shared" si="2"/>
        <v>2289.88</v>
      </c>
    </row>
    <row r="46" spans="1:7" ht="15" customHeight="1" x14ac:dyDescent="0.2">
      <c r="A46" s="2" t="s">
        <v>13</v>
      </c>
      <c r="B46" s="35">
        <f>Energy_calc!B36</f>
        <v>126</v>
      </c>
      <c r="C46" s="35">
        <f>Energy_calc!L36</f>
        <v>126</v>
      </c>
      <c r="D46" s="36">
        <f>Energy_calc!M36</f>
        <v>1197</v>
      </c>
      <c r="E46" s="36">
        <f>Energy_calc!W36</f>
        <v>126</v>
      </c>
      <c r="F46" s="36">
        <f>Energy_calc!X36</f>
        <v>879.48</v>
      </c>
      <c r="G46" s="36">
        <f t="shared" si="2"/>
        <v>2202.48</v>
      </c>
    </row>
    <row r="47" spans="1:7" ht="15" customHeight="1" x14ac:dyDescent="0.2">
      <c r="A47" s="31" t="s">
        <v>14</v>
      </c>
      <c r="B47" s="35">
        <f>Energy_calc!B37</f>
        <v>144</v>
      </c>
      <c r="C47" s="35">
        <f>Energy_calc!L37</f>
        <v>144</v>
      </c>
      <c r="D47" s="36">
        <f>Energy_calc!M37</f>
        <v>1368</v>
      </c>
      <c r="E47" s="36">
        <f>Energy_calc!W37</f>
        <v>144</v>
      </c>
      <c r="F47" s="36">
        <f>Energy_calc!X37</f>
        <v>1005.1200000000001</v>
      </c>
      <c r="G47" s="36">
        <f t="shared" si="2"/>
        <v>2517.12</v>
      </c>
    </row>
    <row r="48" spans="1:7" ht="15" customHeight="1" x14ac:dyDescent="0.2">
      <c r="A48" s="32" t="s">
        <v>15</v>
      </c>
      <c r="B48" s="40">
        <f>Energy_calc!B38</f>
        <v>1716</v>
      </c>
      <c r="C48" s="40">
        <f>Energy_calc!L38</f>
        <v>1716</v>
      </c>
      <c r="D48" s="40">
        <f>Energy_calc!M38</f>
        <v>16302</v>
      </c>
      <c r="E48" s="40">
        <f>Energy_calc!W38</f>
        <v>1716</v>
      </c>
      <c r="F48" s="40">
        <f>Energy_calc!X38</f>
        <v>11977.680000000002</v>
      </c>
      <c r="G48" s="39">
        <f t="shared" si="2"/>
        <v>29995.68</v>
      </c>
    </row>
    <row r="49" spans="1:7" ht="15" customHeight="1" x14ac:dyDescent="0.2">
      <c r="A49" s="74" t="s">
        <v>134</v>
      </c>
      <c r="B49" s="75"/>
      <c r="C49" s="41">
        <f>Main!K77</f>
        <v>29995.68</v>
      </c>
      <c r="D49" s="42" t="s">
        <v>137</v>
      </c>
      <c r="E49" s="42"/>
      <c r="F49" s="41"/>
      <c r="G49" s="43"/>
    </row>
    <row r="50" spans="1:7" ht="15" customHeight="1" x14ac:dyDescent="0.2">
      <c r="A50" s="33" t="s">
        <v>135</v>
      </c>
      <c r="B50" s="30">
        <f>Main!M77</f>
        <v>0.54347826086956519</v>
      </c>
      <c r="C50" s="29" t="s">
        <v>138</v>
      </c>
      <c r="D50" s="30">
        <f>Main!L77</f>
        <v>5.7208237986270019E-2</v>
      </c>
      <c r="E50" s="29" t="s">
        <v>139</v>
      </c>
      <c r="F50" s="30">
        <f>Main!N77</f>
        <v>0.39931350114416481</v>
      </c>
      <c r="G50" s="45" t="s">
        <v>141</v>
      </c>
    </row>
    <row r="51" spans="1:7" ht="15" customHeight="1" x14ac:dyDescent="0.2">
      <c r="A51" s="74" t="s">
        <v>136</v>
      </c>
      <c r="B51" s="75"/>
      <c r="C51" s="44">
        <f>Main!O77/1000000</f>
        <v>4.031345</v>
      </c>
      <c r="D51" s="42" t="s">
        <v>142</v>
      </c>
      <c r="E51" s="41"/>
      <c r="F51" s="41"/>
      <c r="G51" s="43"/>
    </row>
    <row r="52" spans="1:7" ht="15" customHeight="1" thickBot="1" x14ac:dyDescent="0.25"/>
    <row r="53" spans="1:7" ht="15" customHeight="1" thickBot="1" x14ac:dyDescent="0.25">
      <c r="A53" s="98" t="s">
        <v>144</v>
      </c>
      <c r="B53" s="98"/>
      <c r="C53" s="98"/>
      <c r="D53" s="98"/>
      <c r="E53" s="98"/>
      <c r="F53" s="98"/>
      <c r="G53" s="98"/>
    </row>
    <row r="54" spans="1:7" ht="15" customHeight="1" thickBot="1" x14ac:dyDescent="0.25">
      <c r="A54" s="48" t="s">
        <v>0</v>
      </c>
      <c r="B54" s="49" t="s">
        <v>102</v>
      </c>
      <c r="C54" s="49" t="s">
        <v>140</v>
      </c>
      <c r="D54" s="49" t="s">
        <v>146</v>
      </c>
      <c r="E54" s="49" t="s">
        <v>147</v>
      </c>
      <c r="F54" s="49" t="s">
        <v>148</v>
      </c>
      <c r="G54" s="49" t="s">
        <v>133</v>
      </c>
    </row>
    <row r="55" spans="1:7" ht="15" customHeight="1" x14ac:dyDescent="0.2">
      <c r="A55" s="2" t="s">
        <v>3</v>
      </c>
      <c r="B55" s="35">
        <f>Energy_calc!B51</f>
        <v>127</v>
      </c>
      <c r="C55" s="35">
        <f>Energy_calc!L51</f>
        <v>127</v>
      </c>
      <c r="D55" s="36">
        <f>Energy_calc!M51</f>
        <v>1206.5</v>
      </c>
      <c r="E55" s="36">
        <f>Energy_calc!W51</f>
        <v>127</v>
      </c>
      <c r="F55" s="36">
        <f>Energy_calc!X51</f>
        <v>886.46</v>
      </c>
      <c r="G55" s="36">
        <f t="shared" ref="G55:G67" si="3">B55+D55+F55</f>
        <v>2219.96</v>
      </c>
    </row>
    <row r="56" spans="1:7" ht="15" customHeight="1" x14ac:dyDescent="0.2">
      <c r="A56" s="2" t="s">
        <v>4</v>
      </c>
      <c r="B56" s="35">
        <f>Energy_calc!B52</f>
        <v>130</v>
      </c>
      <c r="C56" s="35">
        <f>Energy_calc!L52</f>
        <v>130</v>
      </c>
      <c r="D56" s="36">
        <f>Energy_calc!M52</f>
        <v>1235</v>
      </c>
      <c r="E56" s="36">
        <f>Energy_calc!W52</f>
        <v>130</v>
      </c>
      <c r="F56" s="36">
        <f>Energy_calc!X52</f>
        <v>907.40000000000009</v>
      </c>
      <c r="G56" s="36">
        <f t="shared" si="3"/>
        <v>2272.4</v>
      </c>
    </row>
    <row r="57" spans="1:7" ht="15" customHeight="1" x14ac:dyDescent="0.2">
      <c r="A57" s="2" t="s">
        <v>5</v>
      </c>
      <c r="B57" s="35">
        <f>Energy_calc!B53</f>
        <v>159</v>
      </c>
      <c r="C57" s="35">
        <f>Energy_calc!L53</f>
        <v>159</v>
      </c>
      <c r="D57" s="36">
        <f>Energy_calc!M53</f>
        <v>1510.5</v>
      </c>
      <c r="E57" s="36">
        <f>Energy_calc!W53</f>
        <v>159</v>
      </c>
      <c r="F57" s="36">
        <f>Energy_calc!X53</f>
        <v>1109.8200000000002</v>
      </c>
      <c r="G57" s="36">
        <f t="shared" si="3"/>
        <v>2779.32</v>
      </c>
    </row>
    <row r="58" spans="1:7" ht="15" customHeight="1" x14ac:dyDescent="0.2">
      <c r="A58" s="2" t="s">
        <v>6</v>
      </c>
      <c r="B58" s="35">
        <f>Energy_calc!B54</f>
        <v>191</v>
      </c>
      <c r="C58" s="35">
        <f>Energy_calc!L54</f>
        <v>191</v>
      </c>
      <c r="D58" s="36">
        <f>Energy_calc!M54</f>
        <v>1814.5</v>
      </c>
      <c r="E58" s="36">
        <f>Energy_calc!W54</f>
        <v>191</v>
      </c>
      <c r="F58" s="36">
        <f>Energy_calc!X54</f>
        <v>1333.18</v>
      </c>
      <c r="G58" s="36">
        <f t="shared" si="3"/>
        <v>3338.6800000000003</v>
      </c>
    </row>
    <row r="59" spans="1:7" ht="15" customHeight="1" x14ac:dyDescent="0.2">
      <c r="A59" s="2" t="s">
        <v>7</v>
      </c>
      <c r="B59" s="35">
        <f>Energy_calc!B55</f>
        <v>180</v>
      </c>
      <c r="C59" s="35">
        <f>Energy_calc!L55</f>
        <v>180</v>
      </c>
      <c r="D59" s="36">
        <f>Energy_calc!M55</f>
        <v>1710</v>
      </c>
      <c r="E59" s="36">
        <f>Energy_calc!W55</f>
        <v>180</v>
      </c>
      <c r="F59" s="36">
        <f>Energy_calc!X55</f>
        <v>1256.4000000000001</v>
      </c>
      <c r="G59" s="36">
        <f t="shared" si="3"/>
        <v>3146.4</v>
      </c>
    </row>
    <row r="60" spans="1:7" ht="15" customHeight="1" x14ac:dyDescent="0.2">
      <c r="A60" s="2" t="s">
        <v>8</v>
      </c>
      <c r="B60" s="35">
        <f>Energy_calc!B56</f>
        <v>176</v>
      </c>
      <c r="C60" s="35">
        <f>Energy_calc!L56</f>
        <v>176</v>
      </c>
      <c r="D60" s="36">
        <f>Energy_calc!M56</f>
        <v>1672</v>
      </c>
      <c r="E60" s="36">
        <f>Energy_calc!W56</f>
        <v>176</v>
      </c>
      <c r="F60" s="36">
        <f>Energy_calc!X56</f>
        <v>1228.48</v>
      </c>
      <c r="G60" s="36">
        <f t="shared" si="3"/>
        <v>3076.48</v>
      </c>
    </row>
    <row r="61" spans="1:7" ht="15" customHeight="1" x14ac:dyDescent="0.2">
      <c r="A61" s="2" t="s">
        <v>9</v>
      </c>
      <c r="B61" s="35">
        <f>Energy_calc!B57</f>
        <v>179</v>
      </c>
      <c r="C61" s="35">
        <f>Energy_calc!L57</f>
        <v>179</v>
      </c>
      <c r="D61" s="36">
        <f>Energy_calc!M57</f>
        <v>1700.5</v>
      </c>
      <c r="E61" s="36">
        <f>Energy_calc!W57</f>
        <v>179</v>
      </c>
      <c r="F61" s="36">
        <f>Energy_calc!X57</f>
        <v>1249.42</v>
      </c>
      <c r="G61" s="36">
        <f t="shared" si="3"/>
        <v>3128.92</v>
      </c>
    </row>
    <row r="62" spans="1:7" ht="15" customHeight="1" x14ac:dyDescent="0.2">
      <c r="A62" s="2" t="s">
        <v>10</v>
      </c>
      <c r="B62" s="35">
        <f>Energy_calc!B58</f>
        <v>74</v>
      </c>
      <c r="C62" s="35">
        <f>Energy_calc!L58</f>
        <v>74</v>
      </c>
      <c r="D62" s="36">
        <f>Energy_calc!M58</f>
        <v>703</v>
      </c>
      <c r="E62" s="36">
        <f>Energy_calc!W58</f>
        <v>74</v>
      </c>
      <c r="F62" s="36">
        <f>Energy_calc!X58</f>
        <v>516.52</v>
      </c>
      <c r="G62" s="36">
        <f t="shared" si="3"/>
        <v>1293.52</v>
      </c>
    </row>
    <row r="63" spans="1:7" ht="15" customHeight="1" x14ac:dyDescent="0.2">
      <c r="A63" s="2" t="s">
        <v>11</v>
      </c>
      <c r="B63" s="35">
        <f>Energy_calc!B59</f>
        <v>99</v>
      </c>
      <c r="C63" s="35">
        <f>Energy_calc!L59</f>
        <v>99</v>
      </c>
      <c r="D63" s="36">
        <f>Energy_calc!M59</f>
        <v>940.5</v>
      </c>
      <c r="E63" s="36">
        <f>Energy_calc!W59</f>
        <v>99</v>
      </c>
      <c r="F63" s="36">
        <f>Energy_calc!X59</f>
        <v>691.0200000000001</v>
      </c>
      <c r="G63" s="36">
        <f t="shared" si="3"/>
        <v>1730.52</v>
      </c>
    </row>
    <row r="64" spans="1:7" ht="15" customHeight="1" x14ac:dyDescent="0.2">
      <c r="A64" s="2" t="s">
        <v>12</v>
      </c>
      <c r="B64" s="35">
        <f>Energy_calc!B60</f>
        <v>131</v>
      </c>
      <c r="C64" s="35">
        <f>Energy_calc!L60</f>
        <v>131</v>
      </c>
      <c r="D64" s="36">
        <f>Energy_calc!M60</f>
        <v>1244.5</v>
      </c>
      <c r="E64" s="36">
        <f>Energy_calc!W60</f>
        <v>131</v>
      </c>
      <c r="F64" s="36">
        <f>Energy_calc!X60</f>
        <v>914.38000000000011</v>
      </c>
      <c r="G64" s="36">
        <f t="shared" si="3"/>
        <v>2289.88</v>
      </c>
    </row>
    <row r="65" spans="1:18" ht="15" customHeight="1" x14ac:dyDescent="0.2">
      <c r="A65" s="2" t="s">
        <v>13</v>
      </c>
      <c r="B65" s="35">
        <f>Energy_calc!B61</f>
        <v>126</v>
      </c>
      <c r="C65" s="35">
        <f>Energy_calc!L61</f>
        <v>126</v>
      </c>
      <c r="D65" s="36">
        <f>Energy_calc!M61</f>
        <v>1197</v>
      </c>
      <c r="E65" s="36">
        <f>Energy_calc!W61</f>
        <v>126</v>
      </c>
      <c r="F65" s="36">
        <f>Energy_calc!X61</f>
        <v>879.48</v>
      </c>
      <c r="G65" s="36">
        <f t="shared" si="3"/>
        <v>2202.48</v>
      </c>
    </row>
    <row r="66" spans="1:18" ht="15" customHeight="1" x14ac:dyDescent="0.2">
      <c r="A66" s="31" t="s">
        <v>14</v>
      </c>
      <c r="B66" s="35">
        <f>Energy_calc!B62</f>
        <v>144</v>
      </c>
      <c r="C66" s="35">
        <f>Energy_calc!L62</f>
        <v>144</v>
      </c>
      <c r="D66" s="36">
        <f>Energy_calc!M62</f>
        <v>1368</v>
      </c>
      <c r="E66" s="36">
        <f>Energy_calc!W62</f>
        <v>144</v>
      </c>
      <c r="F66" s="36">
        <f>Energy_calc!X62</f>
        <v>1005.1200000000001</v>
      </c>
      <c r="G66" s="36">
        <f t="shared" si="3"/>
        <v>2517.12</v>
      </c>
    </row>
    <row r="67" spans="1:18" ht="15" customHeight="1" x14ac:dyDescent="0.2">
      <c r="A67" s="32" t="s">
        <v>15</v>
      </c>
      <c r="B67" s="39">
        <f>Energy_calc!B63</f>
        <v>1716</v>
      </c>
      <c r="C67" s="39">
        <f>Energy_calc!L63</f>
        <v>1716</v>
      </c>
      <c r="D67" s="39">
        <f>Energy_calc!M63</f>
        <v>16302</v>
      </c>
      <c r="E67" s="39">
        <f>Energy_calc!W63</f>
        <v>1716</v>
      </c>
      <c r="F67" s="39">
        <f>Energy_calc!X63</f>
        <v>11977.680000000002</v>
      </c>
      <c r="G67" s="39">
        <f t="shared" si="3"/>
        <v>29995.68</v>
      </c>
    </row>
    <row r="68" spans="1:18" ht="15" customHeight="1" x14ac:dyDescent="0.2">
      <c r="A68" s="74" t="s">
        <v>134</v>
      </c>
      <c r="B68" s="75"/>
      <c r="C68" s="41">
        <f>Main!K78</f>
        <v>29995.68</v>
      </c>
      <c r="D68" s="42" t="s">
        <v>137</v>
      </c>
      <c r="E68" s="42"/>
      <c r="F68" s="41"/>
      <c r="G68" s="43"/>
    </row>
    <row r="69" spans="1:18" ht="15" customHeight="1" x14ac:dyDescent="0.2">
      <c r="A69" s="33" t="s">
        <v>135</v>
      </c>
      <c r="B69" s="30">
        <f>Main!M78</f>
        <v>0.54347826086956519</v>
      </c>
      <c r="C69" s="29" t="s">
        <v>138</v>
      </c>
      <c r="D69" s="30">
        <f>Main!L78</f>
        <v>9.5238095238095233E-2</v>
      </c>
      <c r="E69" s="28" t="s">
        <v>139</v>
      </c>
      <c r="F69" s="30">
        <f>Main!N78</f>
        <v>0.39931350114416481</v>
      </c>
      <c r="G69" s="34" t="s">
        <v>141</v>
      </c>
    </row>
    <row r="70" spans="1:18" ht="15" customHeight="1" x14ac:dyDescent="0.2">
      <c r="A70" s="74" t="s">
        <v>136</v>
      </c>
      <c r="B70" s="75"/>
      <c r="C70" s="44">
        <f>Main!O78/1000000</f>
        <v>5.3563999999999998</v>
      </c>
      <c r="D70" s="42" t="s">
        <v>142</v>
      </c>
      <c r="E70" s="41"/>
      <c r="F70" s="41"/>
      <c r="G70" s="43"/>
    </row>
    <row r="71" spans="1:18" ht="15" customHeight="1" thickBot="1" x14ac:dyDescent="0.25"/>
    <row r="72" spans="1:18" ht="15" customHeight="1" x14ac:dyDescent="0.2">
      <c r="A72" s="76" t="s">
        <v>159</v>
      </c>
      <c r="B72" s="76"/>
      <c r="C72" s="76"/>
      <c r="D72" s="76"/>
      <c r="E72" s="76"/>
      <c r="F72" s="76"/>
      <c r="G72" s="76"/>
      <c r="J72" s="77" t="s">
        <v>96</v>
      </c>
      <c r="K72" s="77"/>
      <c r="L72" s="77"/>
      <c r="M72" s="77"/>
      <c r="N72" s="77"/>
      <c r="O72" s="77"/>
      <c r="P72" s="77"/>
      <c r="Q72" s="77"/>
      <c r="R72" s="77"/>
    </row>
    <row r="73" spans="1:18" ht="15" customHeight="1" x14ac:dyDescent="0.2">
      <c r="A73" s="95" t="s">
        <v>161</v>
      </c>
      <c r="B73" s="96"/>
      <c r="C73" s="97"/>
      <c r="E73" s="95" t="s">
        <v>160</v>
      </c>
      <c r="F73" s="96"/>
      <c r="G73" s="97"/>
      <c r="J73" s="11" t="s">
        <v>97</v>
      </c>
    </row>
    <row r="74" spans="1:18" ht="15" customHeight="1" x14ac:dyDescent="0.2">
      <c r="A74" s="65" t="s">
        <v>105</v>
      </c>
      <c r="B74" s="65" t="s">
        <v>31</v>
      </c>
      <c r="C74" s="65" t="s">
        <v>106</v>
      </c>
      <c r="E74" s="65" t="s">
        <v>167</v>
      </c>
      <c r="F74" s="65" t="s">
        <v>31</v>
      </c>
      <c r="G74" s="65" t="s">
        <v>106</v>
      </c>
    </row>
    <row r="75" spans="1:18" ht="15" customHeight="1" x14ac:dyDescent="0.2">
      <c r="A75" s="59" t="s">
        <v>108</v>
      </c>
      <c r="B75" s="60">
        <f>P76</f>
        <v>1716</v>
      </c>
      <c r="C75" s="61">
        <f>IF(SUM($B$75:$B$77)=0,0,B75/SUM($B$75:$B$77))</f>
        <v>5.7208237986270019E-2</v>
      </c>
      <c r="E75" s="59" t="s">
        <v>108</v>
      </c>
      <c r="F75" s="60">
        <f>P77</f>
        <v>1716</v>
      </c>
      <c r="G75" s="61">
        <f>IF(SUM($F$75:$F$77)=0,0,F75/SUM($F$75:$F$77))</f>
        <v>5.7208237986270019E-2</v>
      </c>
      <c r="J75" s="12" t="s">
        <v>98</v>
      </c>
      <c r="K75" s="12" t="s">
        <v>99</v>
      </c>
      <c r="L75" s="12" t="s">
        <v>100</v>
      </c>
      <c r="M75" s="12" t="s">
        <v>101</v>
      </c>
      <c r="N75" s="12" t="s">
        <v>115</v>
      </c>
      <c r="O75" s="12" t="s">
        <v>2</v>
      </c>
      <c r="P75" s="12" t="s">
        <v>102</v>
      </c>
      <c r="Q75" s="12" t="s">
        <v>103</v>
      </c>
      <c r="R75" s="12" t="s">
        <v>116</v>
      </c>
    </row>
    <row r="76" spans="1:18" ht="15" customHeight="1" x14ac:dyDescent="0.2">
      <c r="A76" s="59" t="s">
        <v>110</v>
      </c>
      <c r="B76" s="60">
        <f>Q76</f>
        <v>16302</v>
      </c>
      <c r="C76" s="61">
        <f>IF(SUM($B$75:$B$77)=0,0,B76/SUM($B$75:$B$77))</f>
        <v>0.54347826086956519</v>
      </c>
      <c r="E76" s="59" t="s">
        <v>110</v>
      </c>
      <c r="F76" s="60">
        <f>Q77</f>
        <v>16302</v>
      </c>
      <c r="G76" s="61">
        <f>IF(SUM($F$75:$F$77)=0,0,F76/SUM($F$75:$F$77))</f>
        <v>0.54347826086956519</v>
      </c>
      <c r="J76" s="13" t="s">
        <v>104</v>
      </c>
      <c r="K76" s="14">
        <f>Energy_calc!B16+Energy_calc!G16+Energy_calc!X16</f>
        <v>29995.68</v>
      </c>
      <c r="L76" s="17">
        <f>C75</f>
        <v>5.7208237986270019E-2</v>
      </c>
      <c r="M76" s="15">
        <f>C76</f>
        <v>0.54347826086956519</v>
      </c>
      <c r="N76" s="15">
        <f>C77</f>
        <v>0.39931350114416481</v>
      </c>
      <c r="O76" s="16">
        <f>Energy_calc!C16+Energy_calc!H16+Energy_calc!Y16</f>
        <v>2874300</v>
      </c>
      <c r="P76" s="14">
        <f>Energy_calc!B16</f>
        <v>1716</v>
      </c>
      <c r="Q76" s="14">
        <f>Energy_calc!G16</f>
        <v>16302</v>
      </c>
      <c r="R76" s="14">
        <f>Energy_calc!X16</f>
        <v>11977.680000000002</v>
      </c>
    </row>
    <row r="77" spans="1:18" ht="15" customHeight="1" x14ac:dyDescent="0.2">
      <c r="A77" s="59" t="s">
        <v>117</v>
      </c>
      <c r="B77" s="60">
        <f>R76</f>
        <v>11977.680000000002</v>
      </c>
      <c r="C77" s="61">
        <f>IF(SUM($B$75:$B$77)=0,0,B77/SUM($B$75:$B$77))</f>
        <v>0.39931350114416481</v>
      </c>
      <c r="E77" s="59" t="s">
        <v>117</v>
      </c>
      <c r="F77" s="60">
        <f>R77</f>
        <v>11977.680000000002</v>
      </c>
      <c r="G77" s="61">
        <f>IF(SUM($F$75:$F$77)=0,0,F77/SUM($F$75:$F$77))</f>
        <v>0.39931350114416481</v>
      </c>
      <c r="J77" s="13" t="s">
        <v>107</v>
      </c>
      <c r="K77" s="14">
        <f>Energy_calc!B38+Energy_calc!M38+Energy_calc!X38</f>
        <v>29995.68</v>
      </c>
      <c r="L77" s="17">
        <f>G75</f>
        <v>5.7208237986270019E-2</v>
      </c>
      <c r="M77" s="15">
        <f>G76</f>
        <v>0.54347826086956519</v>
      </c>
      <c r="N77" s="15">
        <f>G77</f>
        <v>0.39931350114416481</v>
      </c>
      <c r="O77" s="16">
        <f>Energy_calc!H38+Energy_calc!T38+Energy_calc!Y38</f>
        <v>4031345</v>
      </c>
      <c r="P77" s="14">
        <f>Energy_calc!B38</f>
        <v>1716</v>
      </c>
      <c r="Q77" s="14">
        <f>Energy_calc!M38</f>
        <v>16302</v>
      </c>
      <c r="R77" s="14">
        <f>Energy_calc!X38</f>
        <v>11977.680000000002</v>
      </c>
    </row>
    <row r="78" spans="1:18" ht="15" customHeight="1" x14ac:dyDescent="0.2">
      <c r="A78" s="59" t="s">
        <v>165</v>
      </c>
      <c r="B78" s="60">
        <f>SUM(B75:B77)</f>
        <v>29995.68</v>
      </c>
      <c r="C78" s="59"/>
      <c r="E78" s="59" t="s">
        <v>165</v>
      </c>
      <c r="F78" s="60">
        <f>SUM(F75:F77)</f>
        <v>29995.68</v>
      </c>
      <c r="G78" s="61"/>
      <c r="J78" s="13" t="s">
        <v>109</v>
      </c>
      <c r="K78" s="14">
        <f>Energy_calc!B63+Energy_calc!M63+Energy_calc!X63</f>
        <v>29995.68</v>
      </c>
      <c r="L78" s="17">
        <f>C81</f>
        <v>9.5238095238095233E-2</v>
      </c>
      <c r="M78" s="15">
        <f>C82</f>
        <v>0.54347826086956519</v>
      </c>
      <c r="N78" s="15">
        <f>C83</f>
        <v>0.39931350114416481</v>
      </c>
      <c r="O78" s="16">
        <f>Energy_calc!I63+Energy_calc!T63+Energy_calc!Y63</f>
        <v>5356400</v>
      </c>
      <c r="P78" s="14">
        <f>Energy_calc!B63</f>
        <v>1716</v>
      </c>
      <c r="Q78" s="14">
        <f>Energy_calc!M63</f>
        <v>16302</v>
      </c>
      <c r="R78" s="14">
        <f>Energy_calc!X63</f>
        <v>11977.680000000002</v>
      </c>
    </row>
    <row r="79" spans="1:18" ht="15" customHeight="1" x14ac:dyDescent="0.2">
      <c r="A79" s="95" t="s">
        <v>162</v>
      </c>
      <c r="B79" s="96"/>
      <c r="C79" s="97"/>
      <c r="E79" s="92" t="s">
        <v>166</v>
      </c>
      <c r="F79" s="93"/>
      <c r="G79" s="94"/>
      <c r="J79" s="13" t="s">
        <v>120</v>
      </c>
      <c r="K79" s="14">
        <f>Energy_calc!B87</f>
        <v>1716</v>
      </c>
      <c r="L79" s="17"/>
      <c r="M79" s="15"/>
      <c r="N79" s="15"/>
      <c r="O79" s="16">
        <f>Energy_calc!I87</f>
        <v>1029600</v>
      </c>
      <c r="P79" s="14">
        <f>Energy_calc!B87</f>
        <v>1716</v>
      </c>
      <c r="Q79" s="14">
        <f>Energy_calc!M64</f>
        <v>0</v>
      </c>
      <c r="R79" s="14">
        <f>Energy_calc!N64</f>
        <v>0</v>
      </c>
    </row>
    <row r="80" spans="1:18" ht="15" customHeight="1" x14ac:dyDescent="0.2">
      <c r="A80" s="65" t="s">
        <v>105</v>
      </c>
      <c r="B80" s="65" t="s">
        <v>31</v>
      </c>
      <c r="C80" s="65" t="s">
        <v>106</v>
      </c>
      <c r="E80" s="66" t="s">
        <v>98</v>
      </c>
      <c r="F80" s="66" t="s">
        <v>165</v>
      </c>
      <c r="G80" s="67" t="s">
        <v>163</v>
      </c>
    </row>
    <row r="81" spans="1:7" ht="15" customHeight="1" x14ac:dyDescent="0.2">
      <c r="A81" s="59" t="s">
        <v>108</v>
      </c>
      <c r="B81" s="60">
        <f>P78</f>
        <v>1716</v>
      </c>
      <c r="C81" s="61">
        <f>IF(SUM(B81:B83)=0,0,B81/SUM(B81:B82))</f>
        <v>9.5238095238095233E-2</v>
      </c>
      <c r="E81" s="62">
        <v>2023</v>
      </c>
      <c r="F81" s="63">
        <f>O76/1000000</f>
        <v>2.8742999999999999</v>
      </c>
      <c r="G81" s="64" t="s">
        <v>164</v>
      </c>
    </row>
    <row r="82" spans="1:7" ht="15" customHeight="1" x14ac:dyDescent="0.2">
      <c r="A82" s="59" t="s">
        <v>110</v>
      </c>
      <c r="B82" s="60">
        <f>Q78</f>
        <v>16302</v>
      </c>
      <c r="C82" s="61">
        <f>IF(SUM(B82:B83)=0,0,B82/SUM(B81:B83))</f>
        <v>0.54347826086956519</v>
      </c>
      <c r="E82" s="62">
        <v>2024</v>
      </c>
      <c r="F82" s="63">
        <f>O77/1000000</f>
        <v>4.031345</v>
      </c>
      <c r="G82" s="64" t="s">
        <v>164</v>
      </c>
    </row>
    <row r="83" spans="1:7" ht="15" customHeight="1" x14ac:dyDescent="0.2">
      <c r="A83" s="59" t="s">
        <v>117</v>
      </c>
      <c r="B83" s="60">
        <f>R78</f>
        <v>11977.680000000002</v>
      </c>
      <c r="C83" s="61">
        <f>IF(SUM(B83)=0,0,B83/SUM(B81:B83))</f>
        <v>0.39931350114416481</v>
      </c>
      <c r="E83" s="62">
        <v>2025</v>
      </c>
      <c r="F83" s="63">
        <f>O78/1000000</f>
        <v>5.3563999999999998</v>
      </c>
      <c r="G83" s="64" t="s">
        <v>164</v>
      </c>
    </row>
    <row r="84" spans="1:7" ht="15" customHeight="1" x14ac:dyDescent="0.2">
      <c r="A84" s="59" t="s">
        <v>165</v>
      </c>
      <c r="B84" s="60">
        <f>SUM(B81:B83)</f>
        <v>29995.68</v>
      </c>
      <c r="C84" s="59"/>
    </row>
    <row r="93" spans="1:7" ht="24" customHeight="1" x14ac:dyDescent="0.2"/>
    <row r="94" spans="1:7" x14ac:dyDescent="0.2"/>
    <row r="96" spans="1:7" x14ac:dyDescent="0.2"/>
    <row r="97" spans="1:7" x14ac:dyDescent="0.2"/>
    <row r="98" spans="1:7" x14ac:dyDescent="0.2"/>
    <row r="99" spans="1:7" x14ac:dyDescent="0.2"/>
    <row r="100" spans="1:7" x14ac:dyDescent="0.2"/>
    <row r="103" spans="1:7" x14ac:dyDescent="0.2"/>
    <row r="104" spans="1:7" x14ac:dyDescent="0.2"/>
    <row r="105" spans="1:7" x14ac:dyDescent="0.2"/>
    <row r="106" spans="1:7" x14ac:dyDescent="0.2"/>
    <row r="108" spans="1:7" ht="15" customHeight="1" thickBot="1" x14ac:dyDescent="0.25"/>
    <row r="109" spans="1:7" ht="15" customHeight="1" x14ac:dyDescent="0.2">
      <c r="A109" s="76" t="s">
        <v>184</v>
      </c>
      <c r="B109" s="76"/>
      <c r="F109" s="76" t="s">
        <v>185</v>
      </c>
      <c r="G109" s="76"/>
    </row>
    <row r="110" spans="1:7" ht="15" customHeight="1" x14ac:dyDescent="0.2">
      <c r="A110" t="s">
        <v>118</v>
      </c>
      <c r="B110" t="s">
        <v>177</v>
      </c>
      <c r="F110" t="s">
        <v>118</v>
      </c>
      <c r="G110" t="s">
        <v>177</v>
      </c>
    </row>
    <row r="111" spans="1:7" ht="15" customHeight="1" x14ac:dyDescent="0.2">
      <c r="A111" s="72">
        <v>149</v>
      </c>
      <c r="B111" s="70" t="s">
        <v>178</v>
      </c>
      <c r="F111" s="71">
        <f>C29</f>
        <v>1716</v>
      </c>
      <c r="G111" s="69" t="s">
        <v>123</v>
      </c>
    </row>
    <row r="112" spans="1:7" ht="15" customHeight="1" x14ac:dyDescent="0.2">
      <c r="A112" s="71">
        <f>Energy_calc!L63*0.95</f>
        <v>1630.1999999999998</v>
      </c>
      <c r="B112" s="69" t="s">
        <v>122</v>
      </c>
      <c r="F112" s="71">
        <f>C48</f>
        <v>1716</v>
      </c>
      <c r="G112" s="69" t="s">
        <v>175</v>
      </c>
    </row>
    <row r="113" spans="1:7" ht="15" customHeight="1" x14ac:dyDescent="0.2">
      <c r="A113" s="71">
        <f>Energy_calc!M63*0.95</f>
        <v>15486.9</v>
      </c>
      <c r="B113" s="69" t="s">
        <v>183</v>
      </c>
      <c r="F113" s="71">
        <f>C67</f>
        <v>1716</v>
      </c>
      <c r="G113" s="69" t="s">
        <v>176</v>
      </c>
    </row>
    <row r="114" spans="1:7" ht="15" customHeight="1" x14ac:dyDescent="0.2">
      <c r="A114" s="71">
        <f>Area_calc!C15</f>
        <v>130</v>
      </c>
      <c r="B114" s="69" t="s">
        <v>182</v>
      </c>
      <c r="F114" s="71">
        <f>F113*2/1000</f>
        <v>3.4319999999999999</v>
      </c>
      <c r="G114" s="69" t="s">
        <v>174</v>
      </c>
    </row>
    <row r="115" spans="1:7" ht="15" customHeight="1" x14ac:dyDescent="0.2">
      <c r="A115" s="71">
        <f>A113/A114</f>
        <v>119.13</v>
      </c>
      <c r="B115" s="69" t="s">
        <v>181</v>
      </c>
      <c r="F115" s="71">
        <f>P78*0.2/1000</f>
        <v>0.34320000000000006</v>
      </c>
      <c r="G115" s="69" t="s">
        <v>173</v>
      </c>
    </row>
    <row r="116" spans="1:7" ht="15" customHeight="1" x14ac:dyDescent="0.2">
      <c r="A116" s="71">
        <f>A115-A111</f>
        <v>-29.870000000000005</v>
      </c>
      <c r="B116" s="69" t="s">
        <v>180</v>
      </c>
      <c r="F116" s="71">
        <f>SUM(F114:F115)</f>
        <v>3.7751999999999999</v>
      </c>
      <c r="G116" s="69" t="s">
        <v>121</v>
      </c>
    </row>
    <row r="117" spans="1:7" ht="15" customHeight="1" x14ac:dyDescent="0.2">
      <c r="A117" s="73">
        <f>A116/A111</f>
        <v>-0.20046979865771816</v>
      </c>
      <c r="B117" s="69" t="s">
        <v>179</v>
      </c>
    </row>
    <row r="118" spans="1:7" ht="15" customHeight="1" x14ac:dyDescent="0.2">
      <c r="A118" s="18"/>
    </row>
    <row r="127" spans="1:7" ht="15" customHeight="1" x14ac:dyDescent="0.2">
      <c r="A127" s="18"/>
    </row>
    <row r="128" spans="1:7" ht="15" customHeight="1" x14ac:dyDescent="0.2">
      <c r="A128" s="18"/>
    </row>
    <row r="129" spans="1:2" ht="15" customHeight="1" x14ac:dyDescent="0.2">
      <c r="A129" s="18"/>
    </row>
    <row r="130" spans="1:2" ht="15" customHeight="1" x14ac:dyDescent="0.2">
      <c r="A130" s="18"/>
    </row>
    <row r="131" spans="1:2" ht="15" customHeight="1" x14ac:dyDescent="0.2">
      <c r="B131" s="18"/>
    </row>
    <row r="132" spans="1:2" ht="15" customHeight="1" x14ac:dyDescent="0.2">
      <c r="A132" s="19"/>
    </row>
    <row r="133" spans="1:2" ht="15" customHeight="1" x14ac:dyDescent="0.2">
      <c r="A133" s="18"/>
    </row>
    <row r="134" spans="1:2" ht="15" customHeight="1" x14ac:dyDescent="0.2">
      <c r="A134" s="18"/>
    </row>
    <row r="136" spans="1:2" ht="15" customHeight="1" x14ac:dyDescent="0.2">
      <c r="A136" s="20"/>
    </row>
    <row r="137" spans="1:2" ht="15" customHeight="1" x14ac:dyDescent="0.2">
      <c r="A137" s="20"/>
    </row>
    <row r="138" spans="1:2" ht="15" customHeight="1" x14ac:dyDescent="0.2">
      <c r="A138" s="21"/>
    </row>
    <row r="139" spans="1:2" ht="15" customHeight="1" x14ac:dyDescent="0.2">
      <c r="A139" s="21"/>
    </row>
    <row r="140" spans="1:2" ht="15" customHeight="1" x14ac:dyDescent="0.2">
      <c r="A140" s="21"/>
    </row>
    <row r="141" spans="1:2" ht="15" customHeight="1" x14ac:dyDescent="0.2">
      <c r="A141" s="22"/>
    </row>
    <row r="163" spans="3:7" ht="15" customHeight="1" x14ac:dyDescent="0.2">
      <c r="C163" s="46"/>
      <c r="D163" s="46"/>
      <c r="E163" s="47"/>
      <c r="F163" s="47"/>
      <c r="G163" s="46"/>
    </row>
  </sheetData>
  <mergeCells count="17">
    <mergeCell ref="A70:B70"/>
    <mergeCell ref="A68:B68"/>
    <mergeCell ref="F109:G109"/>
    <mergeCell ref="A109:B109"/>
    <mergeCell ref="J72:R72"/>
    <mergeCell ref="A72:G72"/>
    <mergeCell ref="A73:C73"/>
    <mergeCell ref="E73:G73"/>
    <mergeCell ref="A79:C79"/>
    <mergeCell ref="E79:G79"/>
    <mergeCell ref="A15:G15"/>
    <mergeCell ref="A34:G34"/>
    <mergeCell ref="A53:G53"/>
    <mergeCell ref="A49:B49"/>
    <mergeCell ref="A51:B51"/>
    <mergeCell ref="A30:B30"/>
    <mergeCell ref="A32:B32"/>
  </mergeCells>
  <phoneticPr fontId="17" type="noConversion"/>
  <pageMargins left="0.75" right="0.75" top="1" bottom="1" header="0.511811023622047" footer="0.511811023622047"/>
  <pageSetup paperSize="9" orientation="portrait" horizontalDpi="300" verticalDpi="300"/>
  <drawing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8C781-D66C-BD48-A68E-0E92B05C8235}">
  <sheetPr>
    <tabColor theme="4" tint="0.79998168889431442"/>
  </sheetPr>
  <dimension ref="A1:H36"/>
  <sheetViews>
    <sheetView zoomScale="118" zoomScaleNormal="118" workbookViewId="0">
      <selection activeCell="C11" sqref="C11"/>
    </sheetView>
  </sheetViews>
  <sheetFormatPr baseColWidth="10" defaultRowHeight="15" x14ac:dyDescent="0.2"/>
  <cols>
    <col min="1" max="1" width="12.33203125" customWidth="1"/>
    <col min="2" max="3" width="13.33203125" customWidth="1"/>
    <col min="4" max="4" width="3" customWidth="1"/>
    <col min="9" max="9" width="4.5" customWidth="1"/>
  </cols>
  <sheetData>
    <row r="1" spans="1:8" ht="19" customHeight="1" x14ac:dyDescent="0.2">
      <c r="A1" s="76" t="s">
        <v>169</v>
      </c>
      <c r="B1" s="76"/>
      <c r="C1" s="76"/>
      <c r="E1" s="76" t="s">
        <v>170</v>
      </c>
      <c r="F1" s="76"/>
      <c r="G1" s="76"/>
      <c r="H1" s="76"/>
    </row>
    <row r="2" spans="1:8" x14ac:dyDescent="0.2">
      <c r="A2" t="s">
        <v>124</v>
      </c>
      <c r="B2" t="s">
        <v>126</v>
      </c>
      <c r="C2" t="s">
        <v>125</v>
      </c>
      <c r="E2" t="s">
        <v>124</v>
      </c>
      <c r="F2" t="s">
        <v>126</v>
      </c>
      <c r="G2" t="s">
        <v>129</v>
      </c>
      <c r="H2" t="s">
        <v>128</v>
      </c>
    </row>
    <row r="3" spans="1:8" x14ac:dyDescent="0.2">
      <c r="A3">
        <v>8</v>
      </c>
      <c r="B3">
        <v>4</v>
      </c>
      <c r="C3">
        <f>Table2[[#This Row],[dimensions]]*Table2[[#This Row],[dimensions2]]</f>
        <v>32</v>
      </c>
      <c r="E3">
        <v>2</v>
      </c>
      <c r="F3">
        <v>1.2</v>
      </c>
      <c r="G3">
        <v>10</v>
      </c>
      <c r="H3">
        <f>Table24[[#This Row],[dimensions]]*Table24[[#This Row],[dimensions2]]*Table24[[#This Row],[number]]</f>
        <v>24</v>
      </c>
    </row>
    <row r="4" spans="1:8" x14ac:dyDescent="0.2">
      <c r="A4">
        <v>15</v>
      </c>
      <c r="B4">
        <v>3.5</v>
      </c>
      <c r="C4">
        <f>Table2[[#This Row],[dimensions]]*Table2[[#This Row],[dimensions2]]</f>
        <v>52.5</v>
      </c>
      <c r="E4">
        <v>2.6</v>
      </c>
      <c r="F4">
        <v>1</v>
      </c>
      <c r="G4">
        <v>5</v>
      </c>
      <c r="H4">
        <f>Table24[[#This Row],[dimensions]]*Table24[[#This Row],[dimensions2]]*Table24[[#This Row],[number]]</f>
        <v>13</v>
      </c>
    </row>
    <row r="5" spans="1:8" x14ac:dyDescent="0.2">
      <c r="A5">
        <v>13</v>
      </c>
      <c r="B5">
        <v>3.5</v>
      </c>
      <c r="C5">
        <f>Table2[[#This Row],[dimensions]]*Table2[[#This Row],[dimensions2]]</f>
        <v>45.5</v>
      </c>
      <c r="E5">
        <v>0</v>
      </c>
      <c r="F5">
        <v>0</v>
      </c>
      <c r="G5">
        <v>0</v>
      </c>
      <c r="H5">
        <f>Table24[[#This Row],[dimensions]]*Table24[[#This Row],[dimensions2]]*Table24[[#This Row],[number]]</f>
        <v>0</v>
      </c>
    </row>
    <row r="6" spans="1:8" x14ac:dyDescent="0.2">
      <c r="C6">
        <f>Table2[[#This Row],[dimensions]]*Table2[[#This Row],[dimensions2]]</f>
        <v>0</v>
      </c>
      <c r="H6">
        <f>Table24[[#This Row],[dimensions]]*Table24[[#This Row],[dimensions2]]*Table24[[#This Row],[number]]</f>
        <v>0</v>
      </c>
    </row>
    <row r="7" spans="1:8" x14ac:dyDescent="0.2">
      <c r="C7">
        <f>Table2[[#This Row],[dimensions]]*Table2[[#This Row],[dimensions2]]</f>
        <v>0</v>
      </c>
      <c r="H7">
        <f>Table24[[#This Row],[dimensions]]*Table24[[#This Row],[dimensions2]]*Table24[[#This Row],[number]]</f>
        <v>0</v>
      </c>
    </row>
    <row r="8" spans="1:8" x14ac:dyDescent="0.2">
      <c r="C8">
        <f>Table2[[#This Row],[dimensions]]*Table2[[#This Row],[dimensions2]]</f>
        <v>0</v>
      </c>
      <c r="H8">
        <f>Table24[[#This Row],[dimensions]]*Table24[[#This Row],[dimensions2]]*Table24[[#This Row],[number]]</f>
        <v>0</v>
      </c>
    </row>
    <row r="9" spans="1:8" x14ac:dyDescent="0.2">
      <c r="C9">
        <f>Table2[[#This Row],[dimensions]]*Table2[[#This Row],[dimensions2]]</f>
        <v>0</v>
      </c>
      <c r="H9">
        <f>Table24[[#This Row],[dimensions]]*Table24[[#This Row],[dimensions2]]*Table24[[#This Row],[number]]</f>
        <v>0</v>
      </c>
    </row>
    <row r="10" spans="1:8" x14ac:dyDescent="0.2">
      <c r="C10">
        <f>Table2[[#This Row],[dimensions]]*Table2[[#This Row],[dimensions2]]</f>
        <v>0</v>
      </c>
      <c r="H10">
        <f>Table24[[#This Row],[dimensions]]*Table24[[#This Row],[dimensions2]]*Table24[[#This Row],[number]]</f>
        <v>0</v>
      </c>
    </row>
    <row r="11" spans="1:8" x14ac:dyDescent="0.2">
      <c r="C11">
        <f>Table2[[#This Row],[dimensions]]*Table2[[#This Row],[dimensions2]]</f>
        <v>0</v>
      </c>
      <c r="H11">
        <f>Table24[[#This Row],[dimensions]]*Table24[[#This Row],[dimensions2]]*Table24[[#This Row],[number]]</f>
        <v>0</v>
      </c>
    </row>
    <row r="12" spans="1:8" x14ac:dyDescent="0.2">
      <c r="C12">
        <f>Table2[[#This Row],[dimensions]]*Table2[[#This Row],[dimensions2]]</f>
        <v>0</v>
      </c>
      <c r="H12">
        <f>Table24[[#This Row],[dimensions]]*Table24[[#This Row],[dimensions2]]*Table24[[#This Row],[number]]</f>
        <v>0</v>
      </c>
    </row>
    <row r="13" spans="1:8" x14ac:dyDescent="0.2">
      <c r="C13">
        <f>Table2[[#This Row],[dimensions]]*Table2[[#This Row],[dimensions2]]</f>
        <v>0</v>
      </c>
      <c r="H13">
        <f>Table24[[#This Row],[dimensions]]*Table24[[#This Row],[dimensions2]]*Table24[[#This Row],[number]]</f>
        <v>0</v>
      </c>
    </row>
    <row r="14" spans="1:8" x14ac:dyDescent="0.2">
      <c r="C14">
        <f>Table2[[#This Row],[dimensions]]*Table2[[#This Row],[dimensions2]]</f>
        <v>0</v>
      </c>
      <c r="H14">
        <f>Table24[[#This Row],[dimensions]]*Table24[[#This Row],[dimensions2]]*Table24[[#This Row],[number]]</f>
        <v>0</v>
      </c>
    </row>
    <row r="15" spans="1:8" s="25" customFormat="1" x14ac:dyDescent="0.2">
      <c r="A15" s="25" t="s">
        <v>127</v>
      </c>
      <c r="C15" s="25">
        <f>SUM(C3:C14)</f>
        <v>130</v>
      </c>
      <c r="E15" s="25" t="s">
        <v>127</v>
      </c>
      <c r="H15" s="25">
        <f>SUM(H3:H14)</f>
        <v>37</v>
      </c>
    </row>
    <row r="16" spans="1:8" ht="16" thickBot="1" x14ac:dyDescent="0.25"/>
    <row r="17" spans="1:8" ht="20" customHeight="1" x14ac:dyDescent="0.2">
      <c r="A17" s="76" t="s">
        <v>168</v>
      </c>
      <c r="B17" s="76"/>
      <c r="C17" s="76"/>
      <c r="E17" s="76" t="s">
        <v>171</v>
      </c>
      <c r="F17" s="76"/>
      <c r="G17" s="76"/>
      <c r="H17" s="76"/>
    </row>
    <row r="18" spans="1:8" ht="18" customHeight="1" x14ac:dyDescent="0.2">
      <c r="A18" t="s">
        <v>124</v>
      </c>
      <c r="B18" t="s">
        <v>131</v>
      </c>
      <c r="C18" t="s">
        <v>132</v>
      </c>
      <c r="E18" t="s">
        <v>124</v>
      </c>
      <c r="F18" t="s">
        <v>126</v>
      </c>
      <c r="G18" t="s">
        <v>129</v>
      </c>
      <c r="H18" t="s">
        <v>130</v>
      </c>
    </row>
    <row r="19" spans="1:8" x14ac:dyDescent="0.2">
      <c r="A19">
        <v>8</v>
      </c>
      <c r="C19">
        <f>Table26[[#This Row],[dimensions]]*Table26[[#This Row],[height]]</f>
        <v>0</v>
      </c>
      <c r="E19">
        <v>2.6</v>
      </c>
      <c r="F19">
        <v>1</v>
      </c>
      <c r="G19">
        <v>5</v>
      </c>
      <c r="H19">
        <f>Table245[[#This Row],[dimensions]]*Table245[[#This Row],[dimensions2]]*Table245[[#This Row],[number]]</f>
        <v>13</v>
      </c>
    </row>
    <row r="20" spans="1:8" x14ac:dyDescent="0.2">
      <c r="A20">
        <v>4</v>
      </c>
      <c r="C20">
        <f>Table26[[#This Row],[dimensions]]*Table26[[#This Row],[height]]</f>
        <v>0</v>
      </c>
      <c r="E20">
        <v>0</v>
      </c>
      <c r="F20">
        <v>0</v>
      </c>
      <c r="G20">
        <v>0</v>
      </c>
      <c r="H20">
        <f>Table245[[#This Row],[dimensions]]*Table245[[#This Row],[dimensions2]]*Table245[[#This Row],[number]]</f>
        <v>0</v>
      </c>
    </row>
    <row r="21" spans="1:8" x14ac:dyDescent="0.2">
      <c r="A21" s="25">
        <f>SUM(A19:A20)</f>
        <v>12</v>
      </c>
      <c r="B21" s="25">
        <v>3</v>
      </c>
      <c r="C21" s="25">
        <f>Table26[[#This Row],[dimensions]]*Table26[[#This Row],[height]]*2</f>
        <v>72</v>
      </c>
      <c r="H21">
        <f>Table245[[#This Row],[dimensions]]*Table245[[#This Row],[dimensions2]]*Table245[[#This Row],[number]]</f>
        <v>0</v>
      </c>
    </row>
    <row r="22" spans="1:8" x14ac:dyDescent="0.2">
      <c r="A22">
        <v>15</v>
      </c>
      <c r="C22">
        <f>Table26[[#This Row],[dimensions]]*Table26[[#This Row],[height]]</f>
        <v>0</v>
      </c>
      <c r="H22">
        <f>Table245[[#This Row],[dimensions]]*Table245[[#This Row],[dimensions2]]*Table245[[#This Row],[number]]</f>
        <v>0</v>
      </c>
    </row>
    <row r="23" spans="1:8" x14ac:dyDescent="0.2">
      <c r="A23">
        <v>3.5</v>
      </c>
      <c r="C23">
        <f>Table26[[#This Row],[dimensions]]*Table26[[#This Row],[height]]</f>
        <v>0</v>
      </c>
      <c r="H23">
        <f>Table245[[#This Row],[dimensions]]*Table245[[#This Row],[dimensions2]]*Table245[[#This Row],[number]]</f>
        <v>0</v>
      </c>
    </row>
    <row r="24" spans="1:8" x14ac:dyDescent="0.2">
      <c r="A24" s="25">
        <f>SUM(A22:A23)</f>
        <v>18.5</v>
      </c>
      <c r="B24" s="25">
        <v>3</v>
      </c>
      <c r="C24" s="25">
        <f>Table26[[#This Row],[dimensions]]*Table26[[#This Row],[height]]*2</f>
        <v>111</v>
      </c>
      <c r="H24">
        <f>Table245[[#This Row],[dimensions]]*Table245[[#This Row],[dimensions2]]*Table245[[#This Row],[number]]</f>
        <v>0</v>
      </c>
    </row>
    <row r="25" spans="1:8" x14ac:dyDescent="0.2">
      <c r="A25">
        <v>0</v>
      </c>
      <c r="C25">
        <f>Table26[[#This Row],[dimensions]]*Table26[[#This Row],[height]]</f>
        <v>0</v>
      </c>
      <c r="H25">
        <f>Table245[[#This Row],[dimensions]]*Table245[[#This Row],[dimensions2]]*Table245[[#This Row],[number]]</f>
        <v>0</v>
      </c>
    </row>
    <row r="26" spans="1:8" x14ac:dyDescent="0.2">
      <c r="A26">
        <v>0</v>
      </c>
      <c r="C26">
        <f>Table26[[#This Row],[dimensions]]*Table26[[#This Row],[height]]</f>
        <v>0</v>
      </c>
      <c r="H26">
        <f>Table245[[#This Row],[dimensions]]*Table245[[#This Row],[dimensions2]]*Table245[[#This Row],[number]]</f>
        <v>0</v>
      </c>
    </row>
    <row r="27" spans="1:8" x14ac:dyDescent="0.2">
      <c r="A27" s="25">
        <f>SUM(A25:A26)</f>
        <v>0</v>
      </c>
      <c r="B27" s="25">
        <v>3.3</v>
      </c>
      <c r="C27" s="25">
        <f>Table26[[#This Row],[dimensions]]*Table26[[#This Row],[height]]*2</f>
        <v>0</v>
      </c>
      <c r="H27">
        <f>Table245[[#This Row],[dimensions]]*Table245[[#This Row],[dimensions2]]*Table245[[#This Row],[number]]</f>
        <v>0</v>
      </c>
    </row>
    <row r="28" spans="1:8" x14ac:dyDescent="0.2">
      <c r="A28">
        <v>0</v>
      </c>
      <c r="B28">
        <v>0</v>
      </c>
      <c r="C28">
        <v>0</v>
      </c>
      <c r="H28">
        <f>Table245[[#This Row],[dimensions]]*Table245[[#This Row],[dimensions2]]*Table245[[#This Row],[number]]</f>
        <v>0</v>
      </c>
    </row>
    <row r="29" spans="1:8" x14ac:dyDescent="0.2">
      <c r="A29">
        <v>0</v>
      </c>
      <c r="B29">
        <v>0</v>
      </c>
      <c r="C29">
        <v>0</v>
      </c>
      <c r="H29">
        <f>Table245[[#This Row],[dimensions]]*Table245[[#This Row],[dimensions2]]*Table245[[#This Row],[number]]</f>
        <v>0</v>
      </c>
    </row>
    <row r="30" spans="1:8" x14ac:dyDescent="0.2">
      <c r="A30">
        <v>0</v>
      </c>
      <c r="B30">
        <v>0</v>
      </c>
      <c r="C30">
        <v>0</v>
      </c>
      <c r="H30">
        <f>Table245[[#This Row],[dimensions]]*Table245[[#This Row],[dimensions2]]*Table245[[#This Row],[number]]</f>
        <v>0</v>
      </c>
    </row>
    <row r="31" spans="1:8" x14ac:dyDescent="0.2">
      <c r="C31">
        <f>Table26[[#This Row],[dimensions]]*Table26[[#This Row],[height]]</f>
        <v>0</v>
      </c>
      <c r="E31" s="25" t="s">
        <v>127</v>
      </c>
      <c r="F31" s="25"/>
      <c r="G31" s="25"/>
      <c r="H31" s="25">
        <f>SUM(H19:H30)</f>
        <v>13</v>
      </c>
    </row>
    <row r="32" spans="1:8" x14ac:dyDescent="0.2">
      <c r="C32">
        <f>Table26[[#This Row],[dimensions]]*Table26[[#This Row],[height]]</f>
        <v>0</v>
      </c>
    </row>
    <row r="33" spans="1:3" x14ac:dyDescent="0.2">
      <c r="A33" s="25">
        <f>SUM(A31:A32)</f>
        <v>0</v>
      </c>
      <c r="B33" s="25">
        <v>5.5</v>
      </c>
      <c r="C33" s="25">
        <f>Table26[[#This Row],[dimensions]]*Table26[[#This Row],[height]]*2</f>
        <v>0</v>
      </c>
    </row>
    <row r="34" spans="1:3" x14ac:dyDescent="0.2">
      <c r="A34" s="25" t="s">
        <v>127</v>
      </c>
      <c r="B34" s="25"/>
      <c r="C34" s="25">
        <f>SUM(C19:C33)-H15-H31</f>
        <v>133</v>
      </c>
    </row>
    <row r="35" spans="1:3" ht="16" thickBot="1" x14ac:dyDescent="0.25"/>
    <row r="36" spans="1:3" ht="18" customHeight="1" x14ac:dyDescent="0.2">
      <c r="A36" s="68" t="s">
        <v>172</v>
      </c>
      <c r="B36" s="50">
        <f>C15*1.15</f>
        <v>149.5</v>
      </c>
    </row>
  </sheetData>
  <mergeCells count="4">
    <mergeCell ref="A17:C17"/>
    <mergeCell ref="A1:C1"/>
    <mergeCell ref="E1:H1"/>
    <mergeCell ref="E17:H17"/>
  </mergeCells>
  <phoneticPr fontId="17" type="noConversion"/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E53E4-F522-E448-865C-8E1154F54942}">
  <sheetPr>
    <tabColor theme="6" tint="0.79998168889431442"/>
  </sheetPr>
  <dimension ref="A1:Y90"/>
  <sheetViews>
    <sheetView topLeftCell="A25" zoomScale="57" workbookViewId="0">
      <selection activeCell="I96" sqref="I96"/>
    </sheetView>
  </sheetViews>
  <sheetFormatPr baseColWidth="10" defaultRowHeight="15" x14ac:dyDescent="0.2"/>
  <cols>
    <col min="1" max="2" width="11" bestFit="1" customWidth="1"/>
    <col min="3" max="3" width="11.6640625" bestFit="1" customWidth="1"/>
    <col min="4" max="8" width="11" bestFit="1" customWidth="1"/>
    <col min="9" max="9" width="11.6640625" bestFit="1" customWidth="1"/>
    <col min="10" max="10" width="11" bestFit="1" customWidth="1"/>
    <col min="12" max="14" width="11" bestFit="1" customWidth="1"/>
    <col min="15" max="15" width="11.6640625" bestFit="1" customWidth="1"/>
    <col min="16" max="19" width="11" bestFit="1" customWidth="1"/>
    <col min="20" max="20" width="11.6640625" bestFit="1" customWidth="1"/>
    <col min="23" max="24" width="11" bestFit="1" customWidth="1"/>
    <col min="25" max="25" width="12" customWidth="1"/>
  </cols>
  <sheetData>
    <row r="1" spans="1:25" ht="28" x14ac:dyDescent="0.2">
      <c r="A1" s="79">
        <v>2023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  <c r="V1" s="79"/>
      <c r="W1" s="79"/>
      <c r="X1" s="79"/>
      <c r="Y1" s="79"/>
    </row>
    <row r="2" spans="1:25" x14ac:dyDescent="0.2">
      <c r="A2" s="80" t="s">
        <v>187</v>
      </c>
      <c r="B2" s="81"/>
      <c r="C2" s="82"/>
      <c r="E2" s="80" t="s">
        <v>43</v>
      </c>
      <c r="F2" s="81"/>
      <c r="G2" s="81"/>
      <c r="H2" s="82"/>
      <c r="V2" s="83" t="s">
        <v>113</v>
      </c>
      <c r="W2" s="83"/>
      <c r="X2" s="83"/>
      <c r="Y2" s="83"/>
    </row>
    <row r="3" spans="1:25" ht="28" x14ac:dyDescent="0.2">
      <c r="A3" s="1" t="s">
        <v>0</v>
      </c>
      <c r="B3" s="1" t="s">
        <v>1</v>
      </c>
      <c r="C3" s="1" t="s">
        <v>2</v>
      </c>
      <c r="E3" s="1" t="s">
        <v>0</v>
      </c>
      <c r="F3" s="1" t="s">
        <v>44</v>
      </c>
      <c r="G3" s="1" t="s">
        <v>45</v>
      </c>
      <c r="H3" s="1" t="s">
        <v>2</v>
      </c>
      <c r="V3" s="1" t="s">
        <v>0</v>
      </c>
      <c r="W3" s="1" t="s">
        <v>95</v>
      </c>
      <c r="X3" s="1" t="s">
        <v>70</v>
      </c>
      <c r="Y3" s="1" t="s">
        <v>2</v>
      </c>
    </row>
    <row r="4" spans="1:25" ht="16" thickBot="1" x14ac:dyDescent="0.25">
      <c r="A4" s="2" t="s">
        <v>3</v>
      </c>
      <c r="B4" s="3">
        <f>Main!D2</f>
        <v>127</v>
      </c>
      <c r="C4" s="4">
        <f t="shared" ref="C4:C15" si="0">B4*295</f>
        <v>37465</v>
      </c>
      <c r="E4" s="2" t="s">
        <v>3</v>
      </c>
      <c r="F4" s="58">
        <f>Main!A2</f>
        <v>127</v>
      </c>
      <c r="G4" s="2">
        <f t="shared" ref="G4:G15" si="1">F4*9.5</f>
        <v>1206.5</v>
      </c>
      <c r="H4" s="4">
        <f t="shared" ref="H4:H15" si="2">F4*380</f>
        <v>48260</v>
      </c>
      <c r="V4" s="2" t="s">
        <v>3</v>
      </c>
      <c r="W4" s="58">
        <f>Main!H2</f>
        <v>127</v>
      </c>
      <c r="X4" s="2">
        <f t="shared" ref="X4:X15" si="3">W4*6.98</f>
        <v>886.46</v>
      </c>
      <c r="Y4" s="4">
        <f t="shared" ref="Y4:Y15" si="4">W4*1000</f>
        <v>127000</v>
      </c>
    </row>
    <row r="5" spans="1:25" ht="16" thickBot="1" x14ac:dyDescent="0.25">
      <c r="A5" s="2" t="s">
        <v>4</v>
      </c>
      <c r="B5" s="3">
        <f>Main!D3</f>
        <v>130</v>
      </c>
      <c r="C5" s="4">
        <f t="shared" si="0"/>
        <v>38350</v>
      </c>
      <c r="E5" s="2" t="s">
        <v>4</v>
      </c>
      <c r="F5" s="58">
        <f>Main!A3</f>
        <v>130</v>
      </c>
      <c r="G5" s="2">
        <f t="shared" si="1"/>
        <v>1235</v>
      </c>
      <c r="H5" s="4">
        <f t="shared" si="2"/>
        <v>49400</v>
      </c>
      <c r="V5" s="2" t="s">
        <v>4</v>
      </c>
      <c r="W5" s="58">
        <f>Main!H3</f>
        <v>130</v>
      </c>
      <c r="X5" s="2">
        <f t="shared" si="3"/>
        <v>907.40000000000009</v>
      </c>
      <c r="Y5" s="4">
        <f t="shared" si="4"/>
        <v>130000</v>
      </c>
    </row>
    <row r="6" spans="1:25" ht="16" thickBot="1" x14ac:dyDescent="0.25">
      <c r="A6" s="2" t="s">
        <v>5</v>
      </c>
      <c r="B6" s="3">
        <f>Main!D4</f>
        <v>159</v>
      </c>
      <c r="C6" s="4">
        <f t="shared" si="0"/>
        <v>46905</v>
      </c>
      <c r="E6" s="2" t="s">
        <v>5</v>
      </c>
      <c r="F6" s="58">
        <f>Main!A4</f>
        <v>159</v>
      </c>
      <c r="G6" s="2">
        <f t="shared" si="1"/>
        <v>1510.5</v>
      </c>
      <c r="H6" s="4">
        <f t="shared" si="2"/>
        <v>60420</v>
      </c>
      <c r="V6" s="2" t="s">
        <v>5</v>
      </c>
      <c r="W6" s="58">
        <f>Main!H4</f>
        <v>159</v>
      </c>
      <c r="X6" s="2">
        <f t="shared" si="3"/>
        <v>1109.8200000000002</v>
      </c>
      <c r="Y6" s="4">
        <f t="shared" si="4"/>
        <v>159000</v>
      </c>
    </row>
    <row r="7" spans="1:25" ht="16" thickBot="1" x14ac:dyDescent="0.25">
      <c r="A7" s="2" t="s">
        <v>6</v>
      </c>
      <c r="B7" s="3">
        <f>Main!D5</f>
        <v>191</v>
      </c>
      <c r="C7" s="4">
        <f t="shared" si="0"/>
        <v>56345</v>
      </c>
      <c r="E7" s="2" t="s">
        <v>6</v>
      </c>
      <c r="F7" s="58">
        <f>Main!A5</f>
        <v>191</v>
      </c>
      <c r="G7" s="2">
        <f t="shared" si="1"/>
        <v>1814.5</v>
      </c>
      <c r="H7" s="4">
        <f t="shared" si="2"/>
        <v>72580</v>
      </c>
      <c r="V7" s="2" t="s">
        <v>6</v>
      </c>
      <c r="W7" s="58">
        <f>Main!H5</f>
        <v>191</v>
      </c>
      <c r="X7" s="2">
        <f t="shared" si="3"/>
        <v>1333.18</v>
      </c>
      <c r="Y7" s="4">
        <f t="shared" si="4"/>
        <v>191000</v>
      </c>
    </row>
    <row r="8" spans="1:25" ht="16" thickBot="1" x14ac:dyDescent="0.25">
      <c r="A8" s="2" t="s">
        <v>7</v>
      </c>
      <c r="B8" s="3">
        <f>Main!D6</f>
        <v>180</v>
      </c>
      <c r="C8" s="4">
        <f t="shared" si="0"/>
        <v>53100</v>
      </c>
      <c r="E8" s="2" t="s">
        <v>7</v>
      </c>
      <c r="F8" s="58">
        <f>Main!A6</f>
        <v>180</v>
      </c>
      <c r="G8" s="2">
        <f t="shared" si="1"/>
        <v>1710</v>
      </c>
      <c r="H8" s="4">
        <f t="shared" si="2"/>
        <v>68400</v>
      </c>
      <c r="V8" s="2" t="s">
        <v>7</v>
      </c>
      <c r="W8" s="58">
        <f>Main!H6</f>
        <v>180</v>
      </c>
      <c r="X8" s="2">
        <f t="shared" si="3"/>
        <v>1256.4000000000001</v>
      </c>
      <c r="Y8" s="4">
        <f t="shared" si="4"/>
        <v>180000</v>
      </c>
    </row>
    <row r="9" spans="1:25" ht="16" thickBot="1" x14ac:dyDescent="0.25">
      <c r="A9" s="2" t="s">
        <v>8</v>
      </c>
      <c r="B9" s="3">
        <f>Main!D7</f>
        <v>176</v>
      </c>
      <c r="C9" s="4">
        <f t="shared" si="0"/>
        <v>51920</v>
      </c>
      <c r="E9" s="2" t="s">
        <v>8</v>
      </c>
      <c r="F9" s="58">
        <f>Main!A7</f>
        <v>176</v>
      </c>
      <c r="G9" s="2">
        <f t="shared" si="1"/>
        <v>1672</v>
      </c>
      <c r="H9" s="4">
        <f t="shared" si="2"/>
        <v>66880</v>
      </c>
      <c r="V9" s="2" t="s">
        <v>8</v>
      </c>
      <c r="W9" s="58">
        <f>Main!H7</f>
        <v>176</v>
      </c>
      <c r="X9" s="2">
        <f t="shared" si="3"/>
        <v>1228.48</v>
      </c>
      <c r="Y9" s="4">
        <f t="shared" si="4"/>
        <v>176000</v>
      </c>
    </row>
    <row r="10" spans="1:25" ht="16" thickBot="1" x14ac:dyDescent="0.25">
      <c r="A10" s="2" t="s">
        <v>9</v>
      </c>
      <c r="B10" s="3">
        <f>Main!D8</f>
        <v>179</v>
      </c>
      <c r="C10" s="4">
        <f t="shared" si="0"/>
        <v>52805</v>
      </c>
      <c r="E10" s="2" t="s">
        <v>9</v>
      </c>
      <c r="F10" s="58">
        <f>Main!A8</f>
        <v>179</v>
      </c>
      <c r="G10" s="2">
        <f t="shared" si="1"/>
        <v>1700.5</v>
      </c>
      <c r="H10" s="4">
        <f t="shared" si="2"/>
        <v>68020</v>
      </c>
      <c r="V10" s="2" t="s">
        <v>9</v>
      </c>
      <c r="W10" s="58">
        <f>Main!H8</f>
        <v>179</v>
      </c>
      <c r="X10" s="2">
        <f t="shared" si="3"/>
        <v>1249.42</v>
      </c>
      <c r="Y10" s="4">
        <f t="shared" si="4"/>
        <v>179000</v>
      </c>
    </row>
    <row r="11" spans="1:25" ht="16" thickBot="1" x14ac:dyDescent="0.25">
      <c r="A11" s="2" t="s">
        <v>10</v>
      </c>
      <c r="B11" s="3">
        <f>Main!D9</f>
        <v>74</v>
      </c>
      <c r="C11" s="4">
        <f t="shared" si="0"/>
        <v>21830</v>
      </c>
      <c r="E11" s="2" t="s">
        <v>10</v>
      </c>
      <c r="F11" s="58">
        <f>Main!A9</f>
        <v>74</v>
      </c>
      <c r="G11" s="2">
        <f t="shared" si="1"/>
        <v>703</v>
      </c>
      <c r="H11" s="4">
        <f t="shared" si="2"/>
        <v>28120</v>
      </c>
      <c r="V11" s="2" t="s">
        <v>10</v>
      </c>
      <c r="W11" s="58">
        <f>Main!H9</f>
        <v>74</v>
      </c>
      <c r="X11" s="2">
        <f t="shared" si="3"/>
        <v>516.52</v>
      </c>
      <c r="Y11" s="4">
        <f t="shared" si="4"/>
        <v>74000</v>
      </c>
    </row>
    <row r="12" spans="1:25" ht="16" thickBot="1" x14ac:dyDescent="0.25">
      <c r="A12" s="2" t="s">
        <v>11</v>
      </c>
      <c r="B12" s="3">
        <f>Main!D10</f>
        <v>99</v>
      </c>
      <c r="C12" s="4">
        <f t="shared" si="0"/>
        <v>29205</v>
      </c>
      <c r="E12" s="2" t="s">
        <v>11</v>
      </c>
      <c r="F12" s="58">
        <f>Main!A10</f>
        <v>99</v>
      </c>
      <c r="G12" s="2">
        <f t="shared" si="1"/>
        <v>940.5</v>
      </c>
      <c r="H12" s="4">
        <f t="shared" si="2"/>
        <v>37620</v>
      </c>
      <c r="V12" s="2" t="s">
        <v>11</v>
      </c>
      <c r="W12" s="58">
        <f>Main!H10</f>
        <v>99</v>
      </c>
      <c r="X12" s="2">
        <f t="shared" si="3"/>
        <v>691.0200000000001</v>
      </c>
      <c r="Y12" s="4">
        <f t="shared" si="4"/>
        <v>99000</v>
      </c>
    </row>
    <row r="13" spans="1:25" ht="16" thickBot="1" x14ac:dyDescent="0.25">
      <c r="A13" s="2" t="s">
        <v>12</v>
      </c>
      <c r="B13" s="3">
        <f>Main!D11</f>
        <v>131</v>
      </c>
      <c r="C13" s="4">
        <f t="shared" si="0"/>
        <v>38645</v>
      </c>
      <c r="E13" s="2" t="s">
        <v>12</v>
      </c>
      <c r="F13" s="58">
        <f>Main!A11</f>
        <v>131</v>
      </c>
      <c r="G13" s="2">
        <f t="shared" si="1"/>
        <v>1244.5</v>
      </c>
      <c r="H13" s="4">
        <f t="shared" si="2"/>
        <v>49780</v>
      </c>
      <c r="V13" s="2" t="s">
        <v>12</v>
      </c>
      <c r="W13" s="58">
        <f>Main!H11</f>
        <v>131</v>
      </c>
      <c r="X13" s="2">
        <f t="shared" si="3"/>
        <v>914.38000000000011</v>
      </c>
      <c r="Y13" s="4">
        <f t="shared" si="4"/>
        <v>131000</v>
      </c>
    </row>
    <row r="14" spans="1:25" ht="16" thickBot="1" x14ac:dyDescent="0.25">
      <c r="A14" s="2" t="s">
        <v>13</v>
      </c>
      <c r="B14" s="3">
        <f>Main!D12</f>
        <v>126</v>
      </c>
      <c r="C14" s="4">
        <f t="shared" si="0"/>
        <v>37170</v>
      </c>
      <c r="E14" s="2" t="s">
        <v>13</v>
      </c>
      <c r="F14" s="58">
        <f>Main!A12</f>
        <v>126</v>
      </c>
      <c r="G14" s="2">
        <f t="shared" si="1"/>
        <v>1197</v>
      </c>
      <c r="H14" s="4">
        <f t="shared" si="2"/>
        <v>47880</v>
      </c>
      <c r="V14" s="2" t="s">
        <v>13</v>
      </c>
      <c r="W14" s="58">
        <f>Main!H12</f>
        <v>126</v>
      </c>
      <c r="X14" s="2">
        <f t="shared" si="3"/>
        <v>879.48</v>
      </c>
      <c r="Y14" s="4">
        <f t="shared" si="4"/>
        <v>126000</v>
      </c>
    </row>
    <row r="15" spans="1:25" ht="16" thickBot="1" x14ac:dyDescent="0.25">
      <c r="A15" s="2" t="s">
        <v>14</v>
      </c>
      <c r="B15" s="3">
        <f>Main!D13</f>
        <v>144</v>
      </c>
      <c r="C15" s="4">
        <f t="shared" si="0"/>
        <v>42480</v>
      </c>
      <c r="E15" s="2" t="s">
        <v>14</v>
      </c>
      <c r="F15" s="58">
        <f>Main!A13</f>
        <v>144</v>
      </c>
      <c r="G15" s="2">
        <f t="shared" si="1"/>
        <v>1368</v>
      </c>
      <c r="H15" s="4">
        <f t="shared" si="2"/>
        <v>54720</v>
      </c>
      <c r="V15" s="2" t="s">
        <v>14</v>
      </c>
      <c r="W15" s="58">
        <f>Main!H13</f>
        <v>144</v>
      </c>
      <c r="X15" s="2">
        <f t="shared" si="3"/>
        <v>1005.1200000000001</v>
      </c>
      <c r="Y15" s="4">
        <f t="shared" si="4"/>
        <v>144000</v>
      </c>
    </row>
    <row r="16" spans="1:25" x14ac:dyDescent="0.2">
      <c r="A16" s="5" t="s">
        <v>15</v>
      </c>
      <c r="B16" s="6">
        <f>SUM(B4:B15)</f>
        <v>1716</v>
      </c>
      <c r="C16" s="6">
        <f>SUM(C4:C15)</f>
        <v>506220</v>
      </c>
      <c r="E16" s="5" t="s">
        <v>15</v>
      </c>
      <c r="F16" s="6">
        <f>SUM(F4:F15)</f>
        <v>1716</v>
      </c>
      <c r="G16" s="6">
        <f>SUM(G4:G15)</f>
        <v>16302</v>
      </c>
      <c r="H16" s="6">
        <f>SUM(H4:H15)</f>
        <v>652080</v>
      </c>
      <c r="V16" s="5" t="s">
        <v>15</v>
      </c>
      <c r="W16" s="6">
        <f>SUM(W4:W15)</f>
        <v>1716</v>
      </c>
      <c r="X16" s="6">
        <f>SUM(X4:X15)</f>
        <v>11977.680000000002</v>
      </c>
      <c r="Y16" s="6">
        <f>SUM(Y4:Y15)</f>
        <v>1716000</v>
      </c>
    </row>
    <row r="17" spans="1:25" ht="28" x14ac:dyDescent="0.2">
      <c r="A17" s="79">
        <v>2024</v>
      </c>
      <c r="B17" s="79"/>
      <c r="C17" s="79"/>
      <c r="D17" s="79"/>
      <c r="E17" s="79"/>
      <c r="F17" s="79"/>
      <c r="G17" s="79"/>
      <c r="H17" s="79"/>
      <c r="I17" s="79"/>
      <c r="J17" s="79"/>
      <c r="K17" s="79"/>
      <c r="L17" s="79"/>
      <c r="M17" s="79"/>
      <c r="N17" s="79"/>
      <c r="O17" s="79"/>
      <c r="P17" s="79"/>
      <c r="Q17" s="79"/>
      <c r="R17" s="79"/>
      <c r="S17" s="79"/>
      <c r="T17" s="79"/>
      <c r="U17" s="79"/>
      <c r="V17" s="79"/>
      <c r="W17" s="79"/>
      <c r="X17" s="79"/>
      <c r="Y17" s="79"/>
    </row>
    <row r="18" spans="1:25" x14ac:dyDescent="0.2">
      <c r="A18" s="83" t="s">
        <v>16</v>
      </c>
      <c r="B18" s="83"/>
      <c r="C18" s="83"/>
      <c r="D18" s="83"/>
      <c r="E18" s="83"/>
      <c r="F18" s="83"/>
      <c r="G18" s="83"/>
      <c r="H18" s="83"/>
      <c r="K18" s="83" t="s">
        <v>46</v>
      </c>
      <c r="L18" s="83"/>
      <c r="M18" s="83"/>
      <c r="N18" s="83"/>
      <c r="O18" s="83"/>
      <c r="P18" s="83"/>
      <c r="Q18" s="83"/>
      <c r="R18" s="83"/>
      <c r="S18" s="83"/>
    </row>
    <row r="19" spans="1:25" x14ac:dyDescent="0.2">
      <c r="A19" s="84" t="s">
        <v>17</v>
      </c>
      <c r="B19" s="84"/>
      <c r="C19" s="84"/>
      <c r="D19" s="84"/>
      <c r="E19" s="84"/>
      <c r="F19" s="84"/>
      <c r="G19" s="84"/>
      <c r="H19" s="84"/>
      <c r="K19" s="84" t="s">
        <v>17</v>
      </c>
      <c r="L19" s="84"/>
      <c r="M19" s="84"/>
      <c r="N19" s="84"/>
      <c r="O19" s="84"/>
      <c r="P19" s="84"/>
      <c r="Q19" s="84"/>
      <c r="R19" s="84"/>
      <c r="S19" s="84"/>
    </row>
    <row r="20" spans="1:25" ht="28" x14ac:dyDescent="0.2">
      <c r="A20" s="1" t="s">
        <v>18</v>
      </c>
      <c r="B20" s="1" t="s">
        <v>19</v>
      </c>
      <c r="C20" s="1" t="s">
        <v>20</v>
      </c>
      <c r="D20" s="1" t="s">
        <v>21</v>
      </c>
      <c r="E20" s="1" t="s">
        <v>22</v>
      </c>
      <c r="F20" s="1" t="s">
        <v>23</v>
      </c>
      <c r="G20" s="1" t="s">
        <v>24</v>
      </c>
      <c r="K20" s="1" t="s">
        <v>18</v>
      </c>
      <c r="L20" s="1" t="s">
        <v>47</v>
      </c>
      <c r="M20" s="1" t="s">
        <v>48</v>
      </c>
      <c r="N20" s="1" t="s">
        <v>49</v>
      </c>
      <c r="O20" s="1" t="s">
        <v>50</v>
      </c>
      <c r="P20" s="1" t="s">
        <v>51</v>
      </c>
      <c r="Q20" s="1" t="s">
        <v>52</v>
      </c>
      <c r="R20" s="1" t="s">
        <v>53</v>
      </c>
      <c r="S20" s="1" t="s">
        <v>24</v>
      </c>
    </row>
    <row r="21" spans="1:25" ht="28" x14ac:dyDescent="0.2">
      <c r="A21" s="7" t="s">
        <v>25</v>
      </c>
      <c r="B21" s="8">
        <v>295</v>
      </c>
      <c r="C21" s="8" t="s">
        <v>26</v>
      </c>
      <c r="D21" s="8" t="s">
        <v>26</v>
      </c>
      <c r="E21" s="8" t="s">
        <v>26</v>
      </c>
      <c r="F21" s="8" t="s">
        <v>26</v>
      </c>
      <c r="G21" s="7" t="s">
        <v>27</v>
      </c>
      <c r="K21" s="7" t="s">
        <v>54</v>
      </c>
      <c r="L21" s="7" t="s">
        <v>55</v>
      </c>
      <c r="M21" s="7" t="s">
        <v>56</v>
      </c>
      <c r="N21" s="7" t="s">
        <v>56</v>
      </c>
      <c r="O21" s="7" t="s">
        <v>56</v>
      </c>
      <c r="P21" s="7" t="s">
        <v>56</v>
      </c>
      <c r="Q21" s="7" t="s">
        <v>56</v>
      </c>
      <c r="R21" s="7" t="s">
        <v>56</v>
      </c>
      <c r="S21" s="7" t="s">
        <v>57</v>
      </c>
    </row>
    <row r="22" spans="1:25" ht="42" x14ac:dyDescent="0.2">
      <c r="A22" s="7" t="s">
        <v>28</v>
      </c>
      <c r="B22" s="8">
        <v>450</v>
      </c>
      <c r="C22" s="8">
        <v>900</v>
      </c>
      <c r="D22" s="8">
        <v>1350</v>
      </c>
      <c r="E22" s="8">
        <v>1575</v>
      </c>
      <c r="F22" s="8">
        <v>1800</v>
      </c>
      <c r="G22" s="7" t="s">
        <v>29</v>
      </c>
      <c r="K22" s="7" t="s">
        <v>58</v>
      </c>
      <c r="L22" s="7" t="s">
        <v>56</v>
      </c>
      <c r="M22" s="7">
        <v>100</v>
      </c>
      <c r="N22" s="7" t="s">
        <v>59</v>
      </c>
      <c r="O22" s="7" t="s">
        <v>60</v>
      </c>
      <c r="P22" s="7" t="s">
        <v>61</v>
      </c>
      <c r="Q22" s="7" t="s">
        <v>62</v>
      </c>
      <c r="R22" s="7" t="s">
        <v>63</v>
      </c>
      <c r="S22" s="7" t="s">
        <v>64</v>
      </c>
    </row>
    <row r="23" spans="1:25" ht="28" x14ac:dyDescent="0.2">
      <c r="K23" s="7" t="s">
        <v>65</v>
      </c>
      <c r="L23" s="7" t="s">
        <v>56</v>
      </c>
      <c r="M23" s="7">
        <v>500</v>
      </c>
      <c r="N23" s="7" t="s">
        <v>66</v>
      </c>
      <c r="O23" s="7" t="s">
        <v>67</v>
      </c>
      <c r="P23" s="7" t="s">
        <v>61</v>
      </c>
      <c r="Q23" s="7" t="s">
        <v>62</v>
      </c>
      <c r="R23" s="7" t="s">
        <v>63</v>
      </c>
      <c r="S23" s="7" t="s">
        <v>68</v>
      </c>
    </row>
    <row r="24" spans="1:25" x14ac:dyDescent="0.2">
      <c r="A24" s="84" t="s">
        <v>30</v>
      </c>
      <c r="B24" s="84"/>
      <c r="C24" s="84"/>
      <c r="D24" s="84"/>
      <c r="E24" s="84"/>
      <c r="F24" s="84"/>
      <c r="G24" s="84"/>
      <c r="H24" s="84"/>
      <c r="K24" s="89" t="s">
        <v>30</v>
      </c>
      <c r="L24" s="90"/>
      <c r="M24" s="90"/>
      <c r="N24" s="90"/>
      <c r="O24" s="90"/>
      <c r="P24" s="90"/>
      <c r="Q24" s="90"/>
      <c r="R24" s="90"/>
      <c r="S24" s="90"/>
      <c r="T24" s="90"/>
      <c r="V24" s="83" t="s">
        <v>112</v>
      </c>
      <c r="W24" s="83"/>
      <c r="X24" s="83"/>
      <c r="Y24" s="83"/>
    </row>
    <row r="25" spans="1:25" ht="28" x14ac:dyDescent="0.2">
      <c r="A25" s="1" t="s">
        <v>0</v>
      </c>
      <c r="B25" s="1" t="s">
        <v>31</v>
      </c>
      <c r="C25" s="1" t="s">
        <v>32</v>
      </c>
      <c r="D25" s="1" t="s">
        <v>20</v>
      </c>
      <c r="E25" s="1" t="s">
        <v>21</v>
      </c>
      <c r="F25" s="1" t="s">
        <v>22</v>
      </c>
      <c r="G25" s="1" t="s">
        <v>23</v>
      </c>
      <c r="H25" s="1" t="s">
        <v>33</v>
      </c>
      <c r="K25" s="1" t="s">
        <v>0</v>
      </c>
      <c r="L25" s="1" t="s">
        <v>69</v>
      </c>
      <c r="M25" s="1" t="s">
        <v>70</v>
      </c>
      <c r="N25" s="1" t="s">
        <v>71</v>
      </c>
      <c r="O25" s="1" t="s">
        <v>49</v>
      </c>
      <c r="P25" s="1" t="s">
        <v>50</v>
      </c>
      <c r="Q25" s="1" t="s">
        <v>51</v>
      </c>
      <c r="R25" s="1" t="s">
        <v>52</v>
      </c>
      <c r="S25" s="1" t="s">
        <v>53</v>
      </c>
      <c r="T25" s="1" t="s">
        <v>33</v>
      </c>
      <c r="V25" s="1" t="s">
        <v>0</v>
      </c>
      <c r="W25" s="1" t="s">
        <v>95</v>
      </c>
      <c r="X25" s="1" t="s">
        <v>70</v>
      </c>
      <c r="Y25" s="1" t="s">
        <v>2</v>
      </c>
    </row>
    <row r="26" spans="1:25" ht="16" thickBot="1" x14ac:dyDescent="0.25">
      <c r="A26" s="2" t="s">
        <v>3</v>
      </c>
      <c r="B26" s="58">
        <f>Main!E2</f>
        <v>127</v>
      </c>
      <c r="C26" s="4">
        <f>B26*295</f>
        <v>37465</v>
      </c>
      <c r="D26" s="4" t="s">
        <v>26</v>
      </c>
      <c r="E26" s="4" t="s">
        <v>26</v>
      </c>
      <c r="F26" s="4" t="s">
        <v>26</v>
      </c>
      <c r="G26" s="4" t="s">
        <v>26</v>
      </c>
      <c r="H26" s="4">
        <f t="shared" ref="H26:H37" si="5">SUM(C26:G26)</f>
        <v>37465</v>
      </c>
      <c r="K26" s="2" t="s">
        <v>3</v>
      </c>
      <c r="L26" s="58">
        <f>Main!B2</f>
        <v>127</v>
      </c>
      <c r="M26" s="2">
        <f t="shared" ref="M26:M37" si="6">L26*9.5</f>
        <v>1206.5</v>
      </c>
      <c r="N26" s="7" t="s">
        <v>56</v>
      </c>
      <c r="O26" s="4">
        <f>L26*380</f>
        <v>48260</v>
      </c>
      <c r="P26" s="4">
        <f>0</f>
        <v>0</v>
      </c>
      <c r="Q26" s="4">
        <f>0</f>
        <v>0</v>
      </c>
      <c r="R26" s="4">
        <f>0</f>
        <v>0</v>
      </c>
      <c r="S26" s="4">
        <f>0</f>
        <v>0</v>
      </c>
      <c r="T26" s="4">
        <f t="shared" ref="T26:T37" si="7">SUM(O26:S26)</f>
        <v>48260</v>
      </c>
      <c r="V26" s="2" t="s">
        <v>3</v>
      </c>
      <c r="W26" s="58">
        <f>Main!I2</f>
        <v>127</v>
      </c>
      <c r="X26" s="2">
        <f t="shared" ref="X26:X37" si="8">W26*6.98</f>
        <v>886.46</v>
      </c>
      <c r="Y26" s="4">
        <f t="shared" ref="Y26:Y37" si="9">W26*1300</f>
        <v>165100</v>
      </c>
    </row>
    <row r="27" spans="1:25" ht="16" thickBot="1" x14ac:dyDescent="0.25">
      <c r="A27" s="2" t="s">
        <v>4</v>
      </c>
      <c r="B27" s="58">
        <f>Main!E3</f>
        <v>130</v>
      </c>
      <c r="C27" s="4">
        <f>B27*295</f>
        <v>38350</v>
      </c>
      <c r="D27" s="4" t="s">
        <v>26</v>
      </c>
      <c r="E27" s="4" t="s">
        <v>26</v>
      </c>
      <c r="F27" s="4" t="s">
        <v>26</v>
      </c>
      <c r="G27" s="4" t="s">
        <v>26</v>
      </c>
      <c r="H27" s="4">
        <f t="shared" si="5"/>
        <v>38350</v>
      </c>
      <c r="K27" s="2" t="s">
        <v>4</v>
      </c>
      <c r="L27" s="58">
        <f>Main!B3</f>
        <v>130</v>
      </c>
      <c r="M27" s="2">
        <f t="shared" si="6"/>
        <v>1235</v>
      </c>
      <c r="N27" s="7" t="s">
        <v>56</v>
      </c>
      <c r="O27" s="4">
        <f>L27*380</f>
        <v>49400</v>
      </c>
      <c r="P27" s="4">
        <f>0</f>
        <v>0</v>
      </c>
      <c r="Q27" s="4">
        <f>0</f>
        <v>0</v>
      </c>
      <c r="R27" s="4">
        <f>0</f>
        <v>0</v>
      </c>
      <c r="S27" s="4">
        <f>0</f>
        <v>0</v>
      </c>
      <c r="T27" s="4">
        <f t="shared" si="7"/>
        <v>49400</v>
      </c>
      <c r="V27" s="2" t="s">
        <v>4</v>
      </c>
      <c r="W27" s="58">
        <f>Main!I3</f>
        <v>130</v>
      </c>
      <c r="X27" s="2">
        <f t="shared" si="8"/>
        <v>907.40000000000009</v>
      </c>
      <c r="Y27" s="4">
        <f t="shared" si="9"/>
        <v>169000</v>
      </c>
    </row>
    <row r="28" spans="1:25" ht="16" thickBot="1" x14ac:dyDescent="0.25">
      <c r="A28" s="2" t="s">
        <v>5</v>
      </c>
      <c r="B28" s="58">
        <f>Main!E4</f>
        <v>159</v>
      </c>
      <c r="C28" s="4">
        <f>B28*295</f>
        <v>46905</v>
      </c>
      <c r="D28" s="4" t="s">
        <v>26</v>
      </c>
      <c r="E28" s="4" t="s">
        <v>26</v>
      </c>
      <c r="F28" s="4" t="s">
        <v>26</v>
      </c>
      <c r="G28" s="4" t="s">
        <v>26</v>
      </c>
      <c r="H28" s="4">
        <f t="shared" si="5"/>
        <v>46905</v>
      </c>
      <c r="K28" s="2" t="s">
        <v>5</v>
      </c>
      <c r="L28" s="58">
        <f>Main!B4</f>
        <v>159</v>
      </c>
      <c r="M28" s="2">
        <f t="shared" si="6"/>
        <v>1510.5</v>
      </c>
      <c r="N28" s="7" t="s">
        <v>56</v>
      </c>
      <c r="O28" s="4">
        <f>L28*380</f>
        <v>60420</v>
      </c>
      <c r="P28" s="4">
        <f>0</f>
        <v>0</v>
      </c>
      <c r="Q28" s="4">
        <f>0</f>
        <v>0</v>
      </c>
      <c r="R28" s="4">
        <f>0</f>
        <v>0</v>
      </c>
      <c r="S28" s="4">
        <f>0</f>
        <v>0</v>
      </c>
      <c r="T28" s="4">
        <f t="shared" si="7"/>
        <v>60420</v>
      </c>
      <c r="V28" s="2" t="s">
        <v>5</v>
      </c>
      <c r="W28" s="58">
        <f>Main!I4</f>
        <v>159</v>
      </c>
      <c r="X28" s="2">
        <f t="shared" si="8"/>
        <v>1109.8200000000002</v>
      </c>
      <c r="Y28" s="4">
        <f t="shared" si="9"/>
        <v>206700</v>
      </c>
    </row>
    <row r="29" spans="1:25" ht="16" thickBot="1" x14ac:dyDescent="0.25">
      <c r="A29" s="2" t="s">
        <v>6</v>
      </c>
      <c r="B29" s="58">
        <f>Main!E5</f>
        <v>191</v>
      </c>
      <c r="C29" s="4">
        <f>B29*295</f>
        <v>56345</v>
      </c>
      <c r="D29" s="4" t="s">
        <v>26</v>
      </c>
      <c r="E29" s="4" t="s">
        <v>26</v>
      </c>
      <c r="F29" s="4" t="s">
        <v>26</v>
      </c>
      <c r="G29" s="4" t="s">
        <v>26</v>
      </c>
      <c r="H29" s="4">
        <f t="shared" si="5"/>
        <v>56345</v>
      </c>
      <c r="K29" s="2" t="s">
        <v>6</v>
      </c>
      <c r="L29" s="58">
        <f>Main!B5</f>
        <v>191</v>
      </c>
      <c r="M29" s="2">
        <f t="shared" si="6"/>
        <v>1814.5</v>
      </c>
      <c r="N29" s="7" t="s">
        <v>56</v>
      </c>
      <c r="O29" s="4">
        <f>L29*380</f>
        <v>72580</v>
      </c>
      <c r="P29" s="4">
        <f>0</f>
        <v>0</v>
      </c>
      <c r="Q29" s="4">
        <f>0</f>
        <v>0</v>
      </c>
      <c r="R29" s="4">
        <f>0</f>
        <v>0</v>
      </c>
      <c r="S29" s="4">
        <f>0</f>
        <v>0</v>
      </c>
      <c r="T29" s="4">
        <f t="shared" si="7"/>
        <v>72580</v>
      </c>
      <c r="V29" s="2" t="s">
        <v>6</v>
      </c>
      <c r="W29" s="58">
        <f>Main!I5</f>
        <v>191</v>
      </c>
      <c r="X29" s="2">
        <f t="shared" si="8"/>
        <v>1333.18</v>
      </c>
      <c r="Y29" s="4">
        <f t="shared" si="9"/>
        <v>248300</v>
      </c>
    </row>
    <row r="30" spans="1:25" ht="16" thickBot="1" x14ac:dyDescent="0.25">
      <c r="A30" s="2" t="s">
        <v>7</v>
      </c>
      <c r="B30" s="58">
        <f>Main!E6</f>
        <v>180</v>
      </c>
      <c r="C30" s="4">
        <f>MIN(B30,200)*295</f>
        <v>53100</v>
      </c>
      <c r="D30" s="4">
        <f t="shared" ref="D30:D37" si="10">MAX(MIN(B30,1000)-200,0)*900</f>
        <v>0</v>
      </c>
      <c r="E30" s="4">
        <f t="shared" ref="E30:E37" si="11">MAX(MIN(B30,5000)-1000,0)*1350</f>
        <v>0</v>
      </c>
      <c r="F30" s="4">
        <f t="shared" ref="F30:F37" si="12">MAX(MIN(B30,10000)-5000,0)*1575</f>
        <v>0</v>
      </c>
      <c r="G30" s="4">
        <f t="shared" ref="G30:G37" si="13">MAX(B30-10000,0)*1800</f>
        <v>0</v>
      </c>
      <c r="H30" s="4">
        <f t="shared" si="5"/>
        <v>53100</v>
      </c>
      <c r="K30" s="2" t="s">
        <v>7</v>
      </c>
      <c r="L30" s="58">
        <f>Main!B6</f>
        <v>180</v>
      </c>
      <c r="M30" s="2">
        <f t="shared" si="6"/>
        <v>1710</v>
      </c>
      <c r="N30" s="9">
        <v>100</v>
      </c>
      <c r="O30" s="4">
        <f t="shared" ref="O30:O37" si="14">MIN(L30,N30)*650</f>
        <v>65000</v>
      </c>
      <c r="P30" s="4">
        <f t="shared" ref="P30:P37" si="15">MAX(MIN(L30,2500)-N30,0)*1500</f>
        <v>120000</v>
      </c>
      <c r="Q30" s="4">
        <f t="shared" ref="Q30:Q37" si="16">MAX(MIN(L30,5000)-2500,0)*1950</f>
        <v>0</v>
      </c>
      <c r="R30" s="4">
        <f t="shared" ref="R30:R37" si="17">MAX(MIN(L30,10000)-5000,0)*2275</f>
        <v>0</v>
      </c>
      <c r="S30" s="4">
        <f t="shared" ref="S30:S37" si="18">MAX(L30-10000,0)*2600</f>
        <v>0</v>
      </c>
      <c r="T30" s="4">
        <f t="shared" si="7"/>
        <v>185000</v>
      </c>
      <c r="V30" s="2" t="s">
        <v>7</v>
      </c>
      <c r="W30" s="58">
        <f>Main!I6</f>
        <v>180</v>
      </c>
      <c r="X30" s="2">
        <f t="shared" si="8"/>
        <v>1256.4000000000001</v>
      </c>
      <c r="Y30" s="4">
        <f t="shared" si="9"/>
        <v>234000</v>
      </c>
    </row>
    <row r="31" spans="1:25" ht="16" thickBot="1" x14ac:dyDescent="0.25">
      <c r="A31" s="2" t="s">
        <v>8</v>
      </c>
      <c r="B31" s="58">
        <f>Main!E7</f>
        <v>176</v>
      </c>
      <c r="C31" s="4">
        <f>MIN(B31,200)*295</f>
        <v>51920</v>
      </c>
      <c r="D31" s="4">
        <f t="shared" si="10"/>
        <v>0</v>
      </c>
      <c r="E31" s="4">
        <f t="shared" si="11"/>
        <v>0</v>
      </c>
      <c r="F31" s="4">
        <f t="shared" si="12"/>
        <v>0</v>
      </c>
      <c r="G31" s="4">
        <f t="shared" si="13"/>
        <v>0</v>
      </c>
      <c r="H31" s="4">
        <f t="shared" si="5"/>
        <v>51920</v>
      </c>
      <c r="K31" s="2" t="s">
        <v>8</v>
      </c>
      <c r="L31" s="58">
        <f>Main!B7</f>
        <v>176</v>
      </c>
      <c r="M31" s="2">
        <f t="shared" si="6"/>
        <v>1672</v>
      </c>
      <c r="N31" s="9">
        <v>100</v>
      </c>
      <c r="O31" s="4">
        <f t="shared" si="14"/>
        <v>65000</v>
      </c>
      <c r="P31" s="4">
        <f t="shared" si="15"/>
        <v>114000</v>
      </c>
      <c r="Q31" s="4">
        <f t="shared" si="16"/>
        <v>0</v>
      </c>
      <c r="R31" s="4">
        <f t="shared" si="17"/>
        <v>0</v>
      </c>
      <c r="S31" s="4">
        <f t="shared" si="18"/>
        <v>0</v>
      </c>
      <c r="T31" s="4">
        <f t="shared" si="7"/>
        <v>179000</v>
      </c>
      <c r="V31" s="2" t="s">
        <v>8</v>
      </c>
      <c r="W31" s="58">
        <f>Main!I7</f>
        <v>176</v>
      </c>
      <c r="X31" s="2">
        <f t="shared" si="8"/>
        <v>1228.48</v>
      </c>
      <c r="Y31" s="4">
        <f t="shared" si="9"/>
        <v>228800</v>
      </c>
    </row>
    <row r="32" spans="1:25" ht="16" thickBot="1" x14ac:dyDescent="0.25">
      <c r="A32" s="2" t="s">
        <v>9</v>
      </c>
      <c r="B32" s="58">
        <f>Main!E8</f>
        <v>179</v>
      </c>
      <c r="C32" s="4">
        <f t="shared" ref="C32:C37" si="19">MIN(B32,200)*450</f>
        <v>80550</v>
      </c>
      <c r="D32" s="4">
        <f t="shared" si="10"/>
        <v>0</v>
      </c>
      <c r="E32" s="4">
        <f t="shared" si="11"/>
        <v>0</v>
      </c>
      <c r="F32" s="4">
        <f t="shared" si="12"/>
        <v>0</v>
      </c>
      <c r="G32" s="4">
        <f t="shared" si="13"/>
        <v>0</v>
      </c>
      <c r="H32" s="4">
        <f t="shared" si="5"/>
        <v>80550</v>
      </c>
      <c r="K32" s="2" t="s">
        <v>9</v>
      </c>
      <c r="L32" s="58">
        <f>Main!B8</f>
        <v>179</v>
      </c>
      <c r="M32" s="2">
        <f t="shared" si="6"/>
        <v>1700.5</v>
      </c>
      <c r="N32" s="9">
        <v>100</v>
      </c>
      <c r="O32" s="4">
        <f t="shared" si="14"/>
        <v>65000</v>
      </c>
      <c r="P32" s="4">
        <f t="shared" si="15"/>
        <v>118500</v>
      </c>
      <c r="Q32" s="4">
        <f t="shared" si="16"/>
        <v>0</v>
      </c>
      <c r="R32" s="4">
        <f t="shared" si="17"/>
        <v>0</v>
      </c>
      <c r="S32" s="4">
        <f t="shared" si="18"/>
        <v>0</v>
      </c>
      <c r="T32" s="4">
        <f t="shared" si="7"/>
        <v>183500</v>
      </c>
      <c r="V32" s="2" t="s">
        <v>9</v>
      </c>
      <c r="W32" s="58">
        <f>Main!I8</f>
        <v>179</v>
      </c>
      <c r="X32" s="2">
        <f t="shared" si="8"/>
        <v>1249.42</v>
      </c>
      <c r="Y32" s="4">
        <f t="shared" si="9"/>
        <v>232700</v>
      </c>
    </row>
    <row r="33" spans="1:25" ht="16" thickBot="1" x14ac:dyDescent="0.25">
      <c r="A33" s="2" t="s">
        <v>10</v>
      </c>
      <c r="B33" s="58">
        <f>Main!E9</f>
        <v>74</v>
      </c>
      <c r="C33" s="4">
        <f t="shared" si="19"/>
        <v>33300</v>
      </c>
      <c r="D33" s="4">
        <f t="shared" si="10"/>
        <v>0</v>
      </c>
      <c r="E33" s="4">
        <f t="shared" si="11"/>
        <v>0</v>
      </c>
      <c r="F33" s="4">
        <f t="shared" si="12"/>
        <v>0</v>
      </c>
      <c r="G33" s="4">
        <f t="shared" si="13"/>
        <v>0</v>
      </c>
      <c r="H33" s="4">
        <f t="shared" si="5"/>
        <v>33300</v>
      </c>
      <c r="K33" s="2" t="s">
        <v>10</v>
      </c>
      <c r="L33" s="58">
        <f>Main!B9</f>
        <v>74</v>
      </c>
      <c r="M33" s="2">
        <f t="shared" si="6"/>
        <v>703</v>
      </c>
      <c r="N33" s="9">
        <v>100</v>
      </c>
      <c r="O33" s="4">
        <f t="shared" si="14"/>
        <v>48100</v>
      </c>
      <c r="P33" s="4">
        <f t="shared" si="15"/>
        <v>0</v>
      </c>
      <c r="Q33" s="4">
        <f t="shared" si="16"/>
        <v>0</v>
      </c>
      <c r="R33" s="4">
        <f t="shared" si="17"/>
        <v>0</v>
      </c>
      <c r="S33" s="4">
        <f t="shared" si="18"/>
        <v>0</v>
      </c>
      <c r="T33" s="4">
        <f t="shared" si="7"/>
        <v>48100</v>
      </c>
      <c r="V33" s="2" t="s">
        <v>10</v>
      </c>
      <c r="W33" s="58">
        <f>Main!I9</f>
        <v>74</v>
      </c>
      <c r="X33" s="2">
        <f t="shared" si="8"/>
        <v>516.52</v>
      </c>
      <c r="Y33" s="4">
        <f t="shared" si="9"/>
        <v>96200</v>
      </c>
    </row>
    <row r="34" spans="1:25" ht="16" thickBot="1" x14ac:dyDescent="0.25">
      <c r="A34" s="2" t="s">
        <v>11</v>
      </c>
      <c r="B34" s="58">
        <f>Main!E10</f>
        <v>99</v>
      </c>
      <c r="C34" s="4">
        <f t="shared" si="19"/>
        <v>44550</v>
      </c>
      <c r="D34" s="4">
        <f t="shared" si="10"/>
        <v>0</v>
      </c>
      <c r="E34" s="4">
        <f t="shared" si="11"/>
        <v>0</v>
      </c>
      <c r="F34" s="4">
        <f t="shared" si="12"/>
        <v>0</v>
      </c>
      <c r="G34" s="4">
        <f t="shared" si="13"/>
        <v>0</v>
      </c>
      <c r="H34" s="4">
        <f t="shared" si="5"/>
        <v>44550</v>
      </c>
      <c r="K34" s="2" t="s">
        <v>11</v>
      </c>
      <c r="L34" s="58">
        <f>Main!B10</f>
        <v>99</v>
      </c>
      <c r="M34" s="2">
        <f t="shared" si="6"/>
        <v>940.5</v>
      </c>
      <c r="N34" s="9">
        <v>100</v>
      </c>
      <c r="O34" s="4">
        <f t="shared" si="14"/>
        <v>64350</v>
      </c>
      <c r="P34" s="4">
        <f t="shared" si="15"/>
        <v>0</v>
      </c>
      <c r="Q34" s="4">
        <f t="shared" si="16"/>
        <v>0</v>
      </c>
      <c r="R34" s="4">
        <f t="shared" si="17"/>
        <v>0</v>
      </c>
      <c r="S34" s="4">
        <f t="shared" si="18"/>
        <v>0</v>
      </c>
      <c r="T34" s="4">
        <f t="shared" si="7"/>
        <v>64350</v>
      </c>
      <c r="V34" s="2" t="s">
        <v>11</v>
      </c>
      <c r="W34" s="58">
        <f>Main!I10</f>
        <v>99</v>
      </c>
      <c r="X34" s="2">
        <f t="shared" si="8"/>
        <v>691.0200000000001</v>
      </c>
      <c r="Y34" s="4">
        <f t="shared" si="9"/>
        <v>128700</v>
      </c>
    </row>
    <row r="35" spans="1:25" ht="16" thickBot="1" x14ac:dyDescent="0.25">
      <c r="A35" s="2" t="s">
        <v>12</v>
      </c>
      <c r="B35" s="58">
        <f>Main!E11</f>
        <v>131</v>
      </c>
      <c r="C35" s="4">
        <f t="shared" si="19"/>
        <v>58950</v>
      </c>
      <c r="D35" s="4">
        <f t="shared" si="10"/>
        <v>0</v>
      </c>
      <c r="E35" s="4">
        <f t="shared" si="11"/>
        <v>0</v>
      </c>
      <c r="F35" s="4">
        <f t="shared" si="12"/>
        <v>0</v>
      </c>
      <c r="G35" s="4">
        <f t="shared" si="13"/>
        <v>0</v>
      </c>
      <c r="H35" s="4">
        <f t="shared" si="5"/>
        <v>58950</v>
      </c>
      <c r="K35" s="2" t="s">
        <v>12</v>
      </c>
      <c r="L35" s="58">
        <f>Main!B11</f>
        <v>131</v>
      </c>
      <c r="M35" s="2">
        <f t="shared" si="6"/>
        <v>1244.5</v>
      </c>
      <c r="N35" s="9">
        <v>100</v>
      </c>
      <c r="O35" s="4">
        <f t="shared" si="14"/>
        <v>65000</v>
      </c>
      <c r="P35" s="4">
        <f t="shared" si="15"/>
        <v>46500</v>
      </c>
      <c r="Q35" s="4">
        <f t="shared" si="16"/>
        <v>0</v>
      </c>
      <c r="R35" s="4">
        <f t="shared" si="17"/>
        <v>0</v>
      </c>
      <c r="S35" s="4">
        <f t="shared" si="18"/>
        <v>0</v>
      </c>
      <c r="T35" s="4">
        <f t="shared" si="7"/>
        <v>111500</v>
      </c>
      <c r="V35" s="2" t="s">
        <v>12</v>
      </c>
      <c r="W35" s="58">
        <f>Main!I11</f>
        <v>131</v>
      </c>
      <c r="X35" s="2">
        <f t="shared" si="8"/>
        <v>914.38000000000011</v>
      </c>
      <c r="Y35" s="4">
        <f t="shared" si="9"/>
        <v>170300</v>
      </c>
    </row>
    <row r="36" spans="1:25" ht="16" thickBot="1" x14ac:dyDescent="0.25">
      <c r="A36" s="2" t="s">
        <v>13</v>
      </c>
      <c r="B36" s="58">
        <f>Main!E12</f>
        <v>126</v>
      </c>
      <c r="C36" s="4">
        <f t="shared" si="19"/>
        <v>56700</v>
      </c>
      <c r="D36" s="4">
        <f t="shared" si="10"/>
        <v>0</v>
      </c>
      <c r="E36" s="4">
        <f t="shared" si="11"/>
        <v>0</v>
      </c>
      <c r="F36" s="4">
        <f t="shared" si="12"/>
        <v>0</v>
      </c>
      <c r="G36" s="4">
        <f t="shared" si="13"/>
        <v>0</v>
      </c>
      <c r="H36" s="4">
        <f t="shared" si="5"/>
        <v>56700</v>
      </c>
      <c r="K36" s="2" t="s">
        <v>13</v>
      </c>
      <c r="L36" s="58">
        <f>Main!B12</f>
        <v>126</v>
      </c>
      <c r="M36" s="2">
        <f t="shared" si="6"/>
        <v>1197</v>
      </c>
      <c r="N36" s="9">
        <v>500</v>
      </c>
      <c r="O36" s="4">
        <f t="shared" si="14"/>
        <v>81900</v>
      </c>
      <c r="P36" s="4">
        <f t="shared" si="15"/>
        <v>0</v>
      </c>
      <c r="Q36" s="4">
        <f t="shared" si="16"/>
        <v>0</v>
      </c>
      <c r="R36" s="4">
        <f t="shared" si="17"/>
        <v>0</v>
      </c>
      <c r="S36" s="4">
        <f t="shared" si="18"/>
        <v>0</v>
      </c>
      <c r="T36" s="4">
        <f t="shared" si="7"/>
        <v>81900</v>
      </c>
      <c r="V36" s="2" t="s">
        <v>13</v>
      </c>
      <c r="W36" s="58">
        <f>Main!I12</f>
        <v>126</v>
      </c>
      <c r="X36" s="2">
        <f t="shared" si="8"/>
        <v>879.48</v>
      </c>
      <c r="Y36" s="4">
        <f t="shared" si="9"/>
        <v>163800</v>
      </c>
    </row>
    <row r="37" spans="1:25" ht="16" thickBot="1" x14ac:dyDescent="0.25">
      <c r="A37" s="2" t="s">
        <v>14</v>
      </c>
      <c r="B37" s="58">
        <f>Main!E13</f>
        <v>144</v>
      </c>
      <c r="C37" s="4">
        <f t="shared" si="19"/>
        <v>64800</v>
      </c>
      <c r="D37" s="4">
        <f t="shared" si="10"/>
        <v>0</v>
      </c>
      <c r="E37" s="4">
        <f t="shared" si="11"/>
        <v>0</v>
      </c>
      <c r="F37" s="4">
        <f t="shared" si="12"/>
        <v>0</v>
      </c>
      <c r="G37" s="4">
        <f t="shared" si="13"/>
        <v>0</v>
      </c>
      <c r="H37" s="4">
        <f t="shared" si="5"/>
        <v>64800</v>
      </c>
      <c r="K37" s="2" t="s">
        <v>14</v>
      </c>
      <c r="L37" s="58">
        <f>Main!B13</f>
        <v>144</v>
      </c>
      <c r="M37" s="2">
        <f t="shared" si="6"/>
        <v>1368</v>
      </c>
      <c r="N37" s="9">
        <v>500</v>
      </c>
      <c r="O37" s="4">
        <f t="shared" si="14"/>
        <v>93600</v>
      </c>
      <c r="P37" s="4">
        <f t="shared" si="15"/>
        <v>0</v>
      </c>
      <c r="Q37" s="4">
        <f t="shared" si="16"/>
        <v>0</v>
      </c>
      <c r="R37" s="4">
        <f t="shared" si="17"/>
        <v>0</v>
      </c>
      <c r="S37" s="4">
        <f t="shared" si="18"/>
        <v>0</v>
      </c>
      <c r="T37" s="4">
        <f t="shared" si="7"/>
        <v>93600</v>
      </c>
      <c r="V37" s="2" t="s">
        <v>14</v>
      </c>
      <c r="W37" s="58">
        <f>Main!I13</f>
        <v>144</v>
      </c>
      <c r="X37" s="2">
        <f t="shared" si="8"/>
        <v>1005.1200000000001</v>
      </c>
      <c r="Y37" s="4">
        <f t="shared" si="9"/>
        <v>187200</v>
      </c>
    </row>
    <row r="38" spans="1:25" x14ac:dyDescent="0.2">
      <c r="A38" s="5" t="s">
        <v>15</v>
      </c>
      <c r="B38" s="6">
        <f t="shared" ref="B38:H38" si="20">SUM(B26:B37)</f>
        <v>1716</v>
      </c>
      <c r="C38" s="6">
        <f t="shared" si="20"/>
        <v>622935</v>
      </c>
      <c r="D38" s="6">
        <f t="shared" si="20"/>
        <v>0</v>
      </c>
      <c r="E38" s="6">
        <f t="shared" si="20"/>
        <v>0</v>
      </c>
      <c r="F38" s="6">
        <f t="shared" si="20"/>
        <v>0</v>
      </c>
      <c r="G38" s="6">
        <f t="shared" si="20"/>
        <v>0</v>
      </c>
      <c r="H38" s="6">
        <f t="shared" si="20"/>
        <v>622935</v>
      </c>
      <c r="K38" s="5" t="s">
        <v>15</v>
      </c>
      <c r="L38" s="6">
        <f>SUM(L26:L37)</f>
        <v>1716</v>
      </c>
      <c r="M38" s="6">
        <f>SUM(M26:M37)</f>
        <v>16302</v>
      </c>
      <c r="N38" s="10" t="s">
        <v>56</v>
      </c>
      <c r="O38" s="6">
        <f t="shared" ref="O38:T38" si="21">SUM(O26:O37)</f>
        <v>778610</v>
      </c>
      <c r="P38" s="6">
        <f t="shared" si="21"/>
        <v>399000</v>
      </c>
      <c r="Q38" s="6">
        <f t="shared" si="21"/>
        <v>0</v>
      </c>
      <c r="R38" s="6">
        <f t="shared" si="21"/>
        <v>0</v>
      </c>
      <c r="S38" s="6">
        <f t="shared" si="21"/>
        <v>0</v>
      </c>
      <c r="T38" s="6">
        <f t="shared" si="21"/>
        <v>1177610</v>
      </c>
      <c r="V38" s="5" t="s">
        <v>15</v>
      </c>
      <c r="W38" s="6">
        <f>SUM(W26:W37)</f>
        <v>1716</v>
      </c>
      <c r="X38" s="6">
        <f>SUM(X26:X37)</f>
        <v>11977.680000000002</v>
      </c>
      <c r="Y38" s="6">
        <f>SUM(Y26:Y37)</f>
        <v>2230800</v>
      </c>
    </row>
    <row r="40" spans="1:25" x14ac:dyDescent="0.2">
      <c r="A40" s="78" t="s">
        <v>34</v>
      </c>
      <c r="B40" s="78"/>
      <c r="C40" s="78"/>
      <c r="D40" s="78"/>
      <c r="E40" s="78"/>
      <c r="F40" s="78"/>
      <c r="G40" s="78"/>
      <c r="H40" s="78"/>
      <c r="K40" s="78" t="s">
        <v>72</v>
      </c>
      <c r="L40" s="78"/>
      <c r="M40" s="78"/>
      <c r="N40" s="78"/>
      <c r="O40" s="78"/>
      <c r="P40" s="78"/>
      <c r="Q40" s="78"/>
      <c r="R40" s="78"/>
      <c r="S40" s="78"/>
    </row>
    <row r="41" spans="1:25" x14ac:dyDescent="0.2">
      <c r="K41" s="78" t="s">
        <v>73</v>
      </c>
      <c r="L41" s="78"/>
      <c r="M41" s="78"/>
      <c r="N41" s="78"/>
      <c r="O41" s="78"/>
      <c r="P41" s="78"/>
      <c r="Q41" s="78"/>
      <c r="R41" s="78"/>
      <c r="S41" s="78"/>
    </row>
    <row r="42" spans="1:25" ht="28" x14ac:dyDescent="0.2">
      <c r="A42" s="79">
        <v>2025</v>
      </c>
      <c r="B42" s="79"/>
      <c r="C42" s="79"/>
      <c r="D42" s="79"/>
      <c r="E42" s="79"/>
      <c r="F42" s="79"/>
      <c r="G42" s="79"/>
      <c r="H42" s="79"/>
      <c r="I42" s="79"/>
      <c r="J42" s="79"/>
      <c r="K42" s="79"/>
      <c r="L42" s="79"/>
      <c r="M42" s="79"/>
      <c r="N42" s="79"/>
      <c r="O42" s="79"/>
      <c r="P42" s="79"/>
      <c r="Q42" s="79"/>
      <c r="R42" s="79"/>
      <c r="S42" s="79"/>
      <c r="T42" s="79"/>
      <c r="U42" s="79"/>
      <c r="V42" s="79"/>
      <c r="W42" s="79"/>
      <c r="X42" s="79"/>
      <c r="Y42" s="79"/>
    </row>
    <row r="43" spans="1:25" ht="14" customHeight="1" x14ac:dyDescent="0.2">
      <c r="K43" s="83" t="s">
        <v>114</v>
      </c>
      <c r="L43" s="83"/>
      <c r="M43" s="83"/>
      <c r="N43" s="83"/>
      <c r="O43" s="83"/>
      <c r="P43" s="83"/>
      <c r="Q43" s="83"/>
      <c r="R43" s="83"/>
      <c r="S43" s="83"/>
    </row>
    <row r="44" spans="1:25" ht="18" customHeight="1" x14ac:dyDescent="0.2">
      <c r="A44" s="87" t="s">
        <v>35</v>
      </c>
      <c r="B44" s="88"/>
      <c r="C44" s="88"/>
      <c r="D44" s="88"/>
      <c r="E44" s="88"/>
      <c r="F44" s="88"/>
      <c r="G44" s="88"/>
      <c r="H44" s="91"/>
      <c r="K44" s="84" t="s">
        <v>17</v>
      </c>
      <c r="L44" s="84"/>
      <c r="M44" s="84"/>
      <c r="N44" s="84"/>
      <c r="O44" s="84"/>
      <c r="P44" s="84"/>
      <c r="Q44" s="84"/>
      <c r="R44" s="84"/>
      <c r="S44" s="84"/>
    </row>
    <row r="45" spans="1:25" ht="28" x14ac:dyDescent="0.2">
      <c r="A45" s="1" t="s">
        <v>18</v>
      </c>
      <c r="B45" s="1" t="s">
        <v>32</v>
      </c>
      <c r="C45" s="1" t="s">
        <v>36</v>
      </c>
      <c r="D45" s="1" t="s">
        <v>37</v>
      </c>
      <c r="E45" s="1" t="s">
        <v>21</v>
      </c>
      <c r="F45" s="1" t="s">
        <v>22</v>
      </c>
      <c r="G45" s="1" t="s">
        <v>23</v>
      </c>
      <c r="H45" s="1" t="s">
        <v>24</v>
      </c>
      <c r="K45" s="1" t="s">
        <v>18</v>
      </c>
      <c r="L45" s="1" t="s">
        <v>48</v>
      </c>
      <c r="M45" s="1" t="s">
        <v>74</v>
      </c>
      <c r="N45" s="1" t="s">
        <v>75</v>
      </c>
      <c r="O45" s="1" t="s">
        <v>76</v>
      </c>
      <c r="P45" s="1" t="s">
        <v>22</v>
      </c>
      <c r="Q45" s="1" t="s">
        <v>23</v>
      </c>
      <c r="R45" s="1" t="s">
        <v>77</v>
      </c>
      <c r="S45" s="1" t="s">
        <v>24</v>
      </c>
    </row>
    <row r="46" spans="1:25" ht="56" x14ac:dyDescent="0.2">
      <c r="A46" s="7" t="s">
        <v>38</v>
      </c>
      <c r="B46" s="8">
        <v>450</v>
      </c>
      <c r="C46" s="8">
        <v>900</v>
      </c>
      <c r="D46" s="8">
        <v>900</v>
      </c>
      <c r="E46" s="8">
        <v>1350</v>
      </c>
      <c r="F46" s="8">
        <v>1575</v>
      </c>
      <c r="G46" s="8">
        <v>1800</v>
      </c>
      <c r="H46" s="7" t="s">
        <v>39</v>
      </c>
      <c r="K46" s="7" t="s">
        <v>38</v>
      </c>
      <c r="L46" s="7" t="s">
        <v>78</v>
      </c>
      <c r="M46" s="7" t="s">
        <v>79</v>
      </c>
      <c r="N46" s="7" t="s">
        <v>80</v>
      </c>
      <c r="O46" s="7" t="s">
        <v>81</v>
      </c>
      <c r="P46" s="7" t="s">
        <v>82</v>
      </c>
      <c r="Q46" s="7" t="s">
        <v>83</v>
      </c>
      <c r="R46" s="7" t="s">
        <v>84</v>
      </c>
      <c r="S46" s="7" t="s">
        <v>85</v>
      </c>
    </row>
    <row r="47" spans="1:25" ht="42" x14ac:dyDescent="0.2">
      <c r="A47" s="7" t="s">
        <v>40</v>
      </c>
      <c r="B47" s="8">
        <v>600</v>
      </c>
      <c r="C47" s="8">
        <v>800</v>
      </c>
      <c r="D47" s="8">
        <v>1000</v>
      </c>
      <c r="E47" s="8">
        <v>1500</v>
      </c>
      <c r="F47" s="8">
        <v>1750</v>
      </c>
      <c r="G47" s="8">
        <v>2000</v>
      </c>
      <c r="H47" s="7" t="s">
        <v>41</v>
      </c>
      <c r="K47" s="7" t="s">
        <v>40</v>
      </c>
      <c r="L47" s="7" t="s">
        <v>78</v>
      </c>
      <c r="M47" s="7" t="s">
        <v>86</v>
      </c>
      <c r="N47" s="7" t="s">
        <v>87</v>
      </c>
      <c r="O47" s="7" t="s">
        <v>88</v>
      </c>
      <c r="P47" s="7" t="s">
        <v>89</v>
      </c>
      <c r="Q47" s="7" t="s">
        <v>90</v>
      </c>
      <c r="R47" s="7" t="s">
        <v>91</v>
      </c>
      <c r="S47" s="7" t="s">
        <v>92</v>
      </c>
    </row>
    <row r="49" spans="1:25" ht="28" x14ac:dyDescent="0.2">
      <c r="A49" s="26" t="s">
        <v>30</v>
      </c>
      <c r="B49" s="26"/>
      <c r="C49" s="26"/>
      <c r="D49" s="26"/>
      <c r="E49" s="26"/>
      <c r="F49" s="26"/>
      <c r="G49" s="26"/>
      <c r="H49" s="26"/>
      <c r="I49" s="26"/>
      <c r="K49" s="89" t="s">
        <v>30</v>
      </c>
      <c r="L49" s="90"/>
      <c r="M49" s="90"/>
      <c r="N49" s="90"/>
      <c r="O49" s="90"/>
      <c r="P49" s="90"/>
      <c r="Q49" s="90"/>
      <c r="R49" s="90"/>
      <c r="S49" s="90"/>
      <c r="T49" s="90"/>
      <c r="V49" s="83" t="s">
        <v>111</v>
      </c>
      <c r="W49" s="83"/>
      <c r="X49" s="83"/>
      <c r="Y49" s="83"/>
    </row>
    <row r="50" spans="1:25" ht="15" customHeight="1" x14ac:dyDescent="0.2">
      <c r="A50" s="1" t="s">
        <v>0</v>
      </c>
      <c r="B50" s="1" t="s">
        <v>31</v>
      </c>
      <c r="C50" s="1" t="s">
        <v>32</v>
      </c>
      <c r="D50" s="1" t="s">
        <v>36</v>
      </c>
      <c r="E50" s="1" t="s">
        <v>37</v>
      </c>
      <c r="F50" s="1" t="s">
        <v>21</v>
      </c>
      <c r="G50" s="1" t="s">
        <v>22</v>
      </c>
      <c r="H50" s="1" t="s">
        <v>23</v>
      </c>
      <c r="I50" s="1" t="s">
        <v>33</v>
      </c>
      <c r="K50" s="1" t="s">
        <v>0</v>
      </c>
      <c r="L50" s="1" t="s">
        <v>69</v>
      </c>
      <c r="M50" s="1" t="s">
        <v>70</v>
      </c>
      <c r="N50" s="1" t="s">
        <v>71</v>
      </c>
      <c r="O50" s="1" t="s">
        <v>74</v>
      </c>
      <c r="P50" s="1" t="s">
        <v>75</v>
      </c>
      <c r="Q50" s="1" t="s">
        <v>76</v>
      </c>
      <c r="R50" s="1" t="s">
        <v>22</v>
      </c>
      <c r="S50" s="1" t="s">
        <v>23</v>
      </c>
      <c r="T50" s="1" t="s">
        <v>33</v>
      </c>
      <c r="V50" s="1" t="s">
        <v>0</v>
      </c>
      <c r="W50" s="1" t="s">
        <v>95</v>
      </c>
      <c r="X50" s="1" t="s">
        <v>70</v>
      </c>
      <c r="Y50" s="1" t="s">
        <v>2</v>
      </c>
    </row>
    <row r="51" spans="1:25" ht="16" thickBot="1" x14ac:dyDescent="0.25">
      <c r="A51" s="2" t="s">
        <v>3</v>
      </c>
      <c r="B51" s="58">
        <f>Main!F2</f>
        <v>127</v>
      </c>
      <c r="C51" s="23">
        <f>MIN(B51,200)*450</f>
        <v>57150</v>
      </c>
      <c r="D51" s="23">
        <f>MAX(MIN(B51,500)-200,0)*900</f>
        <v>0</v>
      </c>
      <c r="E51" s="23">
        <f>MAX(MIN(B51,1000)-200,0)*900</f>
        <v>0</v>
      </c>
      <c r="F51" s="23">
        <f>MAX(MIN(B51,5000)-1000,0)*1350</f>
        <v>0</v>
      </c>
      <c r="G51" s="23">
        <f>MAX(MIN(B51,10000)-5000,0)*1575</f>
        <v>0</v>
      </c>
      <c r="H51" s="23">
        <f>MAX(B51-10000,0)*1800</f>
        <v>0</v>
      </c>
      <c r="I51" s="23">
        <f t="shared" ref="I51:I62" si="22">SUM(C51:H51)</f>
        <v>57150</v>
      </c>
      <c r="K51" s="2" t="s">
        <v>3</v>
      </c>
      <c r="L51" s="58">
        <f>Main!C2</f>
        <v>127</v>
      </c>
      <c r="M51" s="2">
        <f t="shared" ref="M51:M62" si="23">L51*9.5</f>
        <v>1206.5</v>
      </c>
      <c r="N51" s="9">
        <v>500</v>
      </c>
      <c r="O51" s="4">
        <f>MIN(L51,N51)*650</f>
        <v>82550</v>
      </c>
      <c r="P51" s="4">
        <f>MAX(MIN(L51,2500)-N51,0)*1500</f>
        <v>0</v>
      </c>
      <c r="Q51" s="4">
        <f>MAX(MIN(L51,5000)-2500,0)*1950</f>
        <v>0</v>
      </c>
      <c r="R51" s="4">
        <f>MAX(MIN(L51,10000)-5000,0)*2275</f>
        <v>0</v>
      </c>
      <c r="S51" s="4">
        <f>MAX(L51-10000,0)*2600</f>
        <v>0</v>
      </c>
      <c r="T51" s="4">
        <f t="shared" ref="T51:T62" si="24">SUM(O51:S51)</f>
        <v>82550</v>
      </c>
      <c r="V51" s="2" t="s">
        <v>3</v>
      </c>
      <c r="W51" s="58">
        <f>Main!J2</f>
        <v>127</v>
      </c>
      <c r="X51" s="2">
        <f t="shared" ref="X51:X62" si="25">W51*6.98</f>
        <v>886.46</v>
      </c>
      <c r="Y51" s="4">
        <f t="shared" ref="Y51:Y62" si="26">W51*1500</f>
        <v>190500</v>
      </c>
    </row>
    <row r="52" spans="1:25" ht="16" thickBot="1" x14ac:dyDescent="0.25">
      <c r="A52" s="2" t="s">
        <v>4</v>
      </c>
      <c r="B52" s="58">
        <f>Main!F3</f>
        <v>130</v>
      </c>
      <c r="C52" s="23">
        <f>MIN(B52,200)*450</f>
        <v>58500</v>
      </c>
      <c r="D52" s="23">
        <f>MAX(MIN(B52,500)-200,0)*900</f>
        <v>0</v>
      </c>
      <c r="E52" s="23">
        <f>MAX(MIN(B52,1000)-200,0)*900</f>
        <v>0</v>
      </c>
      <c r="F52" s="23">
        <f>MAX(MIN(B52,5000)-1000,0)*1350</f>
        <v>0</v>
      </c>
      <c r="G52" s="23">
        <f>MAX(MIN(B52,10000)-5000,0)*1575</f>
        <v>0</v>
      </c>
      <c r="H52" s="23">
        <f>MAX(B52-10000,0)*1800</f>
        <v>0</v>
      </c>
      <c r="I52" s="23">
        <f t="shared" si="22"/>
        <v>58500</v>
      </c>
      <c r="K52" s="2" t="s">
        <v>4</v>
      </c>
      <c r="L52" s="58">
        <f>Main!C3</f>
        <v>130</v>
      </c>
      <c r="M52" s="2">
        <f t="shared" si="23"/>
        <v>1235</v>
      </c>
      <c r="N52" s="9">
        <v>500</v>
      </c>
      <c r="O52" s="4">
        <f>MIN(L52,N52)*650</f>
        <v>84500</v>
      </c>
      <c r="P52" s="4">
        <f>MAX(MIN(L52,2500)-N52,0)*1500</f>
        <v>0</v>
      </c>
      <c r="Q52" s="4">
        <f>MAX(MIN(L52,5000)-2500,0)*1950</f>
        <v>0</v>
      </c>
      <c r="R52" s="4">
        <f>MAX(MIN(L52,10000)-5000,0)*2275</f>
        <v>0</v>
      </c>
      <c r="S52" s="4">
        <f>MAX(L52-10000,0)*2600</f>
        <v>0</v>
      </c>
      <c r="T52" s="4">
        <f t="shared" si="24"/>
        <v>84500</v>
      </c>
      <c r="V52" s="2" t="s">
        <v>4</v>
      </c>
      <c r="W52" s="58">
        <f>Main!J3</f>
        <v>130</v>
      </c>
      <c r="X52" s="2">
        <f t="shared" si="25"/>
        <v>907.40000000000009</v>
      </c>
      <c r="Y52" s="4">
        <f t="shared" si="26"/>
        <v>195000</v>
      </c>
    </row>
    <row r="53" spans="1:25" ht="16" thickBot="1" x14ac:dyDescent="0.25">
      <c r="A53" s="2" t="s">
        <v>5</v>
      </c>
      <c r="B53" s="58">
        <f>Main!F4</f>
        <v>159</v>
      </c>
      <c r="C53" s="23">
        <f>MIN(B53,200)*450</f>
        <v>71550</v>
      </c>
      <c r="D53" s="23">
        <f>MAX(MIN(B53,500)-200,0)*900</f>
        <v>0</v>
      </c>
      <c r="E53" s="23">
        <f>MAX(MIN(B53,1000)-200,0)*900</f>
        <v>0</v>
      </c>
      <c r="F53" s="23">
        <f>MAX(MIN(B53,5000)-1000,0)*1350</f>
        <v>0</v>
      </c>
      <c r="G53" s="23">
        <f>MAX(MIN(B53,10000)-5000,0)*1575</f>
        <v>0</v>
      </c>
      <c r="H53" s="23">
        <f>MAX(B53-10000,0)*1800</f>
        <v>0</v>
      </c>
      <c r="I53" s="23">
        <f t="shared" si="22"/>
        <v>71550</v>
      </c>
      <c r="K53" s="2" t="s">
        <v>5</v>
      </c>
      <c r="L53" s="58">
        <f>Main!C4</f>
        <v>159</v>
      </c>
      <c r="M53" s="2">
        <f t="shared" si="23"/>
        <v>1510.5</v>
      </c>
      <c r="N53" s="9">
        <v>100</v>
      </c>
      <c r="O53" s="4">
        <f>MIN(L53,N53)*650</f>
        <v>65000</v>
      </c>
      <c r="P53" s="4">
        <f>MAX(MIN(L53,2500)-N53,0)*1500</f>
        <v>88500</v>
      </c>
      <c r="Q53" s="4">
        <f>MAX(MIN(L53,5000)-2500,0)*1950</f>
        <v>0</v>
      </c>
      <c r="R53" s="4">
        <f>MAX(MIN(L53,10000)-5000,0)*2275</f>
        <v>0</v>
      </c>
      <c r="S53" s="4">
        <f>MAX(L53-10000,0)*2600</f>
        <v>0</v>
      </c>
      <c r="T53" s="4">
        <f t="shared" si="24"/>
        <v>153500</v>
      </c>
      <c r="V53" s="2" t="s">
        <v>5</v>
      </c>
      <c r="W53" s="58">
        <f>Main!J4</f>
        <v>159</v>
      </c>
      <c r="X53" s="2">
        <f t="shared" si="25"/>
        <v>1109.8200000000002</v>
      </c>
      <c r="Y53" s="4">
        <f t="shared" si="26"/>
        <v>238500</v>
      </c>
    </row>
    <row r="54" spans="1:25" ht="16" thickBot="1" x14ac:dyDescent="0.25">
      <c r="A54" s="2" t="s">
        <v>6</v>
      </c>
      <c r="B54" s="58">
        <f>Main!F5</f>
        <v>191</v>
      </c>
      <c r="C54" s="23">
        <f>MIN(B54,200)*450</f>
        <v>85950</v>
      </c>
      <c r="D54" s="23">
        <f>MAX(MIN(B54,500)-200,0)*900</f>
        <v>0</v>
      </c>
      <c r="E54" s="23">
        <f>MAX(MIN(B54,1000)-200,0)*900</f>
        <v>0</v>
      </c>
      <c r="F54" s="23">
        <f>MAX(MIN(B54,5000)-1000,0)*1350</f>
        <v>0</v>
      </c>
      <c r="G54" s="23">
        <f>MAX(MIN(B54,10000)-5000,0)*1575</f>
        <v>0</v>
      </c>
      <c r="H54" s="23">
        <f>MAX(B54-10000,0)*1800</f>
        <v>0</v>
      </c>
      <c r="I54" s="23">
        <f t="shared" si="22"/>
        <v>85950</v>
      </c>
      <c r="K54" s="2" t="s">
        <v>6</v>
      </c>
      <c r="L54" s="58">
        <f>Main!C5</f>
        <v>191</v>
      </c>
      <c r="M54" s="2">
        <f t="shared" si="23"/>
        <v>1814.5</v>
      </c>
      <c r="N54" s="9">
        <v>100</v>
      </c>
      <c r="O54" s="4">
        <f>MIN(L54,N54)*650</f>
        <v>65000</v>
      </c>
      <c r="P54" s="4">
        <f>MAX(MIN(L54,2500)-N54,0)*1500</f>
        <v>136500</v>
      </c>
      <c r="Q54" s="4">
        <f>MAX(MIN(L54,5000)-2500,0)*1950</f>
        <v>0</v>
      </c>
      <c r="R54" s="4">
        <f>MAX(MIN(L54,10000)-5000,0)*2275</f>
        <v>0</v>
      </c>
      <c r="S54" s="4">
        <f>MAX(L54-10000,0)*2600</f>
        <v>0</v>
      </c>
      <c r="T54" s="4">
        <f t="shared" si="24"/>
        <v>201500</v>
      </c>
      <c r="V54" s="2" t="s">
        <v>6</v>
      </c>
      <c r="W54" s="58">
        <f>Main!J5</f>
        <v>191</v>
      </c>
      <c r="X54" s="2">
        <f t="shared" si="25"/>
        <v>1333.18</v>
      </c>
      <c r="Y54" s="4">
        <f t="shared" si="26"/>
        <v>286500</v>
      </c>
    </row>
    <row r="55" spans="1:25" ht="16" thickBot="1" x14ac:dyDescent="0.25">
      <c r="A55" s="2" t="s">
        <v>7</v>
      </c>
      <c r="B55" s="58">
        <f>Main!F6</f>
        <v>180</v>
      </c>
      <c r="C55" s="23">
        <f t="shared" ref="C55:C62" si="27">MIN(B55,200)*600</f>
        <v>108000</v>
      </c>
      <c r="D55" s="23">
        <f t="shared" ref="D55:D62" si="28">MAX(MIN(B55,500)-200,0)*800</f>
        <v>0</v>
      </c>
      <c r="E55" s="23">
        <f t="shared" ref="E55:E62" si="29">MAX(MIN(B55,1000)-500,0)*1000</f>
        <v>0</v>
      </c>
      <c r="F55" s="23">
        <f t="shared" ref="F55:F62" si="30">MAX(MIN(B55,5000)-1000,0)*1500</f>
        <v>0</v>
      </c>
      <c r="G55" s="23">
        <f t="shared" ref="G55:G62" si="31">MAX(MIN(B55,10000)-5000,0)*1750</f>
        <v>0</v>
      </c>
      <c r="H55" s="23">
        <f t="shared" ref="H55:H62" si="32">MAX(B55-10000,0)*2000</f>
        <v>0</v>
      </c>
      <c r="I55" s="23">
        <f t="shared" si="22"/>
        <v>108000</v>
      </c>
      <c r="K55" s="2" t="s">
        <v>7</v>
      </c>
      <c r="L55" s="58">
        <f>Main!C6</f>
        <v>180</v>
      </c>
      <c r="M55" s="2">
        <f t="shared" si="23"/>
        <v>1710</v>
      </c>
      <c r="N55" s="9">
        <v>100</v>
      </c>
      <c r="O55" s="4">
        <f t="shared" ref="O55:O62" si="33">MIN(L55,N55)*1000</f>
        <v>100000</v>
      </c>
      <c r="P55" s="4">
        <f t="shared" ref="P55:P62" si="34">MAX(MIN(L55,2500)-N55,0)*1800</f>
        <v>144000</v>
      </c>
      <c r="Q55" s="4">
        <f t="shared" ref="Q55:Q62" si="35">MAX(MIN(L55,5000)-2500,0)*2100</f>
        <v>0</v>
      </c>
      <c r="R55" s="4">
        <f t="shared" ref="R55:R62" si="36">MAX(MIN(L55,10000)-5000,0)*2500</f>
        <v>0</v>
      </c>
      <c r="S55" s="4">
        <f t="shared" ref="S55:S62" si="37">MAX(L55-10000,0)*3000</f>
        <v>0</v>
      </c>
      <c r="T55" s="4">
        <f t="shared" si="24"/>
        <v>244000</v>
      </c>
      <c r="V55" s="2" t="s">
        <v>7</v>
      </c>
      <c r="W55" s="58">
        <f>Main!J6</f>
        <v>180</v>
      </c>
      <c r="X55" s="2">
        <f t="shared" si="25"/>
        <v>1256.4000000000001</v>
      </c>
      <c r="Y55" s="4">
        <f t="shared" si="26"/>
        <v>270000</v>
      </c>
    </row>
    <row r="56" spans="1:25" ht="16" thickBot="1" x14ac:dyDescent="0.25">
      <c r="A56" s="2" t="s">
        <v>8</v>
      </c>
      <c r="B56" s="58">
        <f>Main!F7</f>
        <v>176</v>
      </c>
      <c r="C56" s="23">
        <f t="shared" si="27"/>
        <v>105600</v>
      </c>
      <c r="D56" s="23">
        <f t="shared" si="28"/>
        <v>0</v>
      </c>
      <c r="E56" s="23">
        <f t="shared" si="29"/>
        <v>0</v>
      </c>
      <c r="F56" s="23">
        <f t="shared" si="30"/>
        <v>0</v>
      </c>
      <c r="G56" s="23">
        <f t="shared" si="31"/>
        <v>0</v>
      </c>
      <c r="H56" s="23">
        <f t="shared" si="32"/>
        <v>0</v>
      </c>
      <c r="I56" s="23">
        <f t="shared" si="22"/>
        <v>105600</v>
      </c>
      <c r="K56" s="2" t="s">
        <v>8</v>
      </c>
      <c r="L56" s="58">
        <f>Main!C7</f>
        <v>176</v>
      </c>
      <c r="M56" s="2">
        <f t="shared" si="23"/>
        <v>1672</v>
      </c>
      <c r="N56" s="9">
        <v>100</v>
      </c>
      <c r="O56" s="4">
        <f t="shared" si="33"/>
        <v>100000</v>
      </c>
      <c r="P56" s="4">
        <f t="shared" si="34"/>
        <v>136800</v>
      </c>
      <c r="Q56" s="4">
        <f t="shared" si="35"/>
        <v>0</v>
      </c>
      <c r="R56" s="4">
        <f t="shared" si="36"/>
        <v>0</v>
      </c>
      <c r="S56" s="4">
        <f t="shared" si="37"/>
        <v>0</v>
      </c>
      <c r="T56" s="4">
        <f t="shared" si="24"/>
        <v>236800</v>
      </c>
      <c r="V56" s="2" t="s">
        <v>8</v>
      </c>
      <c r="W56" s="58">
        <f>Main!J7</f>
        <v>176</v>
      </c>
      <c r="X56" s="2">
        <f t="shared" si="25"/>
        <v>1228.48</v>
      </c>
      <c r="Y56" s="4">
        <f t="shared" si="26"/>
        <v>264000</v>
      </c>
    </row>
    <row r="57" spans="1:25" ht="16" thickBot="1" x14ac:dyDescent="0.25">
      <c r="A57" s="2" t="s">
        <v>9</v>
      </c>
      <c r="B57" s="58">
        <f>Main!F8</f>
        <v>179</v>
      </c>
      <c r="C57" s="23">
        <f t="shared" si="27"/>
        <v>107400</v>
      </c>
      <c r="D57" s="23">
        <f t="shared" si="28"/>
        <v>0</v>
      </c>
      <c r="E57" s="23">
        <f t="shared" si="29"/>
        <v>0</v>
      </c>
      <c r="F57" s="23">
        <f t="shared" si="30"/>
        <v>0</v>
      </c>
      <c r="G57" s="23">
        <f t="shared" si="31"/>
        <v>0</v>
      </c>
      <c r="H57" s="23">
        <f t="shared" si="32"/>
        <v>0</v>
      </c>
      <c r="I57" s="23">
        <f t="shared" si="22"/>
        <v>107400</v>
      </c>
      <c r="K57" s="2" t="s">
        <v>9</v>
      </c>
      <c r="L57" s="58">
        <f>Main!C8</f>
        <v>179</v>
      </c>
      <c r="M57" s="2">
        <f t="shared" si="23"/>
        <v>1700.5</v>
      </c>
      <c r="N57" s="9">
        <v>100</v>
      </c>
      <c r="O57" s="4">
        <f t="shared" si="33"/>
        <v>100000</v>
      </c>
      <c r="P57" s="4">
        <f t="shared" si="34"/>
        <v>142200</v>
      </c>
      <c r="Q57" s="4">
        <f t="shared" si="35"/>
        <v>0</v>
      </c>
      <c r="R57" s="4">
        <f t="shared" si="36"/>
        <v>0</v>
      </c>
      <c r="S57" s="4">
        <f t="shared" si="37"/>
        <v>0</v>
      </c>
      <c r="T57" s="4">
        <f t="shared" si="24"/>
        <v>242200</v>
      </c>
      <c r="V57" s="2" t="s">
        <v>9</v>
      </c>
      <c r="W57" s="58">
        <f>Main!J8</f>
        <v>179</v>
      </c>
      <c r="X57" s="2">
        <f t="shared" si="25"/>
        <v>1249.42</v>
      </c>
      <c r="Y57" s="4">
        <f t="shared" si="26"/>
        <v>268500</v>
      </c>
    </row>
    <row r="58" spans="1:25" ht="16" thickBot="1" x14ac:dyDescent="0.25">
      <c r="A58" s="2" t="s">
        <v>10</v>
      </c>
      <c r="B58" s="58">
        <f>Main!F9</f>
        <v>74</v>
      </c>
      <c r="C58" s="23">
        <f t="shared" si="27"/>
        <v>44400</v>
      </c>
      <c r="D58" s="23">
        <f t="shared" si="28"/>
        <v>0</v>
      </c>
      <c r="E58" s="23">
        <f t="shared" si="29"/>
        <v>0</v>
      </c>
      <c r="F58" s="23">
        <f t="shared" si="30"/>
        <v>0</v>
      </c>
      <c r="G58" s="23">
        <f t="shared" si="31"/>
        <v>0</v>
      </c>
      <c r="H58" s="23">
        <f t="shared" si="32"/>
        <v>0</v>
      </c>
      <c r="I58" s="23">
        <f t="shared" si="22"/>
        <v>44400</v>
      </c>
      <c r="K58" s="2" t="s">
        <v>10</v>
      </c>
      <c r="L58" s="58">
        <f>Main!C9</f>
        <v>74</v>
      </c>
      <c r="M58" s="2">
        <f t="shared" si="23"/>
        <v>703</v>
      </c>
      <c r="N58" s="9">
        <v>100</v>
      </c>
      <c r="O58" s="4">
        <f t="shared" si="33"/>
        <v>74000</v>
      </c>
      <c r="P58" s="4">
        <f t="shared" si="34"/>
        <v>0</v>
      </c>
      <c r="Q58" s="4">
        <f t="shared" si="35"/>
        <v>0</v>
      </c>
      <c r="R58" s="4">
        <f t="shared" si="36"/>
        <v>0</v>
      </c>
      <c r="S58" s="4">
        <f t="shared" si="37"/>
        <v>0</v>
      </c>
      <c r="T58" s="4">
        <f t="shared" si="24"/>
        <v>74000</v>
      </c>
      <c r="V58" s="2" t="s">
        <v>10</v>
      </c>
      <c r="W58" s="58">
        <f>Main!J9</f>
        <v>74</v>
      </c>
      <c r="X58" s="2">
        <f t="shared" si="25"/>
        <v>516.52</v>
      </c>
      <c r="Y58" s="4">
        <f t="shared" si="26"/>
        <v>111000</v>
      </c>
    </row>
    <row r="59" spans="1:25" ht="16" thickBot="1" x14ac:dyDescent="0.25">
      <c r="A59" s="2" t="s">
        <v>11</v>
      </c>
      <c r="B59" s="58">
        <f>Main!F10</f>
        <v>99</v>
      </c>
      <c r="C59" s="23">
        <f t="shared" si="27"/>
        <v>59400</v>
      </c>
      <c r="D59" s="23">
        <f t="shared" si="28"/>
        <v>0</v>
      </c>
      <c r="E59" s="23">
        <f t="shared" si="29"/>
        <v>0</v>
      </c>
      <c r="F59" s="23">
        <f t="shared" si="30"/>
        <v>0</v>
      </c>
      <c r="G59" s="23">
        <f t="shared" si="31"/>
        <v>0</v>
      </c>
      <c r="H59" s="23">
        <f t="shared" si="32"/>
        <v>0</v>
      </c>
      <c r="I59" s="23">
        <f t="shared" si="22"/>
        <v>59400</v>
      </c>
      <c r="K59" s="2" t="s">
        <v>11</v>
      </c>
      <c r="L59" s="58">
        <f>Main!C10</f>
        <v>99</v>
      </c>
      <c r="M59" s="2">
        <f t="shared" si="23"/>
        <v>940.5</v>
      </c>
      <c r="N59" s="9">
        <v>100</v>
      </c>
      <c r="O59" s="4">
        <f t="shared" si="33"/>
        <v>99000</v>
      </c>
      <c r="P59" s="4">
        <f t="shared" si="34"/>
        <v>0</v>
      </c>
      <c r="Q59" s="4">
        <f t="shared" si="35"/>
        <v>0</v>
      </c>
      <c r="R59" s="4">
        <f t="shared" si="36"/>
        <v>0</v>
      </c>
      <c r="S59" s="4">
        <f t="shared" si="37"/>
        <v>0</v>
      </c>
      <c r="T59" s="4">
        <f t="shared" si="24"/>
        <v>99000</v>
      </c>
      <c r="V59" s="2" t="s">
        <v>11</v>
      </c>
      <c r="W59" s="58">
        <f>Main!J10</f>
        <v>99</v>
      </c>
      <c r="X59" s="2">
        <f t="shared" si="25"/>
        <v>691.0200000000001</v>
      </c>
      <c r="Y59" s="4">
        <f t="shared" si="26"/>
        <v>148500</v>
      </c>
    </row>
    <row r="60" spans="1:25" ht="16" thickBot="1" x14ac:dyDescent="0.25">
      <c r="A60" s="2" t="s">
        <v>12</v>
      </c>
      <c r="B60" s="58">
        <f>Main!F11</f>
        <v>131</v>
      </c>
      <c r="C60" s="23">
        <f t="shared" si="27"/>
        <v>78600</v>
      </c>
      <c r="D60" s="23">
        <f t="shared" si="28"/>
        <v>0</v>
      </c>
      <c r="E60" s="23">
        <f t="shared" si="29"/>
        <v>0</v>
      </c>
      <c r="F60" s="23">
        <f t="shared" si="30"/>
        <v>0</v>
      </c>
      <c r="G60" s="23">
        <f t="shared" si="31"/>
        <v>0</v>
      </c>
      <c r="H60" s="23">
        <f t="shared" si="32"/>
        <v>0</v>
      </c>
      <c r="I60" s="23">
        <f t="shared" si="22"/>
        <v>78600</v>
      </c>
      <c r="K60" s="2" t="s">
        <v>12</v>
      </c>
      <c r="L60" s="58">
        <f>Main!C11</f>
        <v>131</v>
      </c>
      <c r="M60" s="2">
        <f t="shared" si="23"/>
        <v>1244.5</v>
      </c>
      <c r="N60" s="9">
        <v>100</v>
      </c>
      <c r="O60" s="4">
        <f t="shared" si="33"/>
        <v>100000</v>
      </c>
      <c r="P60" s="4">
        <f t="shared" si="34"/>
        <v>55800</v>
      </c>
      <c r="Q60" s="4">
        <f t="shared" si="35"/>
        <v>0</v>
      </c>
      <c r="R60" s="4">
        <f t="shared" si="36"/>
        <v>0</v>
      </c>
      <c r="S60" s="4">
        <f t="shared" si="37"/>
        <v>0</v>
      </c>
      <c r="T60" s="4">
        <f t="shared" si="24"/>
        <v>155800</v>
      </c>
      <c r="V60" s="2" t="s">
        <v>12</v>
      </c>
      <c r="W60" s="58">
        <f>Main!J11</f>
        <v>131</v>
      </c>
      <c r="X60" s="2">
        <f t="shared" si="25"/>
        <v>914.38000000000011</v>
      </c>
      <c r="Y60" s="4">
        <f t="shared" si="26"/>
        <v>196500</v>
      </c>
    </row>
    <row r="61" spans="1:25" ht="16" thickBot="1" x14ac:dyDescent="0.25">
      <c r="A61" s="2" t="s">
        <v>13</v>
      </c>
      <c r="B61" s="58">
        <f>Main!F12</f>
        <v>126</v>
      </c>
      <c r="C61" s="23">
        <f t="shared" si="27"/>
        <v>75600</v>
      </c>
      <c r="D61" s="23">
        <f t="shared" si="28"/>
        <v>0</v>
      </c>
      <c r="E61" s="23">
        <f t="shared" si="29"/>
        <v>0</v>
      </c>
      <c r="F61" s="23">
        <f t="shared" si="30"/>
        <v>0</v>
      </c>
      <c r="G61" s="23">
        <f t="shared" si="31"/>
        <v>0</v>
      </c>
      <c r="H61" s="23">
        <f t="shared" si="32"/>
        <v>0</v>
      </c>
      <c r="I61" s="23">
        <f t="shared" si="22"/>
        <v>75600</v>
      </c>
      <c r="K61" s="2" t="s">
        <v>13</v>
      </c>
      <c r="L61" s="58">
        <f>Main!C12</f>
        <v>126</v>
      </c>
      <c r="M61" s="2">
        <f t="shared" si="23"/>
        <v>1197</v>
      </c>
      <c r="N61" s="9">
        <v>500</v>
      </c>
      <c r="O61" s="4">
        <f t="shared" si="33"/>
        <v>126000</v>
      </c>
      <c r="P61" s="4">
        <f t="shared" si="34"/>
        <v>0</v>
      </c>
      <c r="Q61" s="4">
        <f t="shared" si="35"/>
        <v>0</v>
      </c>
      <c r="R61" s="4">
        <f t="shared" si="36"/>
        <v>0</v>
      </c>
      <c r="S61" s="4">
        <f t="shared" si="37"/>
        <v>0</v>
      </c>
      <c r="T61" s="4">
        <f t="shared" si="24"/>
        <v>126000</v>
      </c>
      <c r="V61" s="2" t="s">
        <v>13</v>
      </c>
      <c r="W61" s="58">
        <f>Main!J12</f>
        <v>126</v>
      </c>
      <c r="X61" s="2">
        <f t="shared" si="25"/>
        <v>879.48</v>
      </c>
      <c r="Y61" s="4">
        <f t="shared" si="26"/>
        <v>189000</v>
      </c>
    </row>
    <row r="62" spans="1:25" ht="16" thickBot="1" x14ac:dyDescent="0.25">
      <c r="A62" s="2" t="s">
        <v>14</v>
      </c>
      <c r="B62" s="58">
        <f>Main!F13</f>
        <v>144</v>
      </c>
      <c r="C62" s="23">
        <f t="shared" si="27"/>
        <v>86400</v>
      </c>
      <c r="D62" s="23">
        <f t="shared" si="28"/>
        <v>0</v>
      </c>
      <c r="E62" s="23">
        <f t="shared" si="29"/>
        <v>0</v>
      </c>
      <c r="F62" s="23">
        <f t="shared" si="30"/>
        <v>0</v>
      </c>
      <c r="G62" s="23">
        <f t="shared" si="31"/>
        <v>0</v>
      </c>
      <c r="H62" s="23">
        <f t="shared" si="32"/>
        <v>0</v>
      </c>
      <c r="I62" s="23">
        <f t="shared" si="22"/>
        <v>86400</v>
      </c>
      <c r="K62" s="2" t="s">
        <v>14</v>
      </c>
      <c r="L62" s="58">
        <f>Main!C13</f>
        <v>144</v>
      </c>
      <c r="M62" s="2">
        <f t="shared" si="23"/>
        <v>1368</v>
      </c>
      <c r="N62" s="9">
        <v>500</v>
      </c>
      <c r="O62" s="4">
        <f t="shared" si="33"/>
        <v>144000</v>
      </c>
      <c r="P62" s="4">
        <f t="shared" si="34"/>
        <v>0</v>
      </c>
      <c r="Q62" s="4">
        <f t="shared" si="35"/>
        <v>0</v>
      </c>
      <c r="R62" s="4">
        <f t="shared" si="36"/>
        <v>0</v>
      </c>
      <c r="S62" s="4">
        <f t="shared" si="37"/>
        <v>0</v>
      </c>
      <c r="T62" s="4">
        <f t="shared" si="24"/>
        <v>144000</v>
      </c>
      <c r="V62" s="2" t="s">
        <v>14</v>
      </c>
      <c r="W62" s="58">
        <f>Main!J13</f>
        <v>144</v>
      </c>
      <c r="X62" s="2">
        <f t="shared" si="25"/>
        <v>1005.1200000000001</v>
      </c>
      <c r="Y62" s="4">
        <f t="shared" si="26"/>
        <v>216000</v>
      </c>
    </row>
    <row r="63" spans="1:25" x14ac:dyDescent="0.2">
      <c r="A63" s="5" t="s">
        <v>15</v>
      </c>
      <c r="B63" s="24">
        <f t="shared" ref="B63:I63" si="38">SUM(B51:B62)</f>
        <v>1716</v>
      </c>
      <c r="C63" s="24">
        <f t="shared" si="38"/>
        <v>938550</v>
      </c>
      <c r="D63" s="24">
        <f t="shared" si="38"/>
        <v>0</v>
      </c>
      <c r="E63" s="24">
        <f t="shared" si="38"/>
        <v>0</v>
      </c>
      <c r="F63" s="24">
        <f t="shared" si="38"/>
        <v>0</v>
      </c>
      <c r="G63" s="24">
        <f t="shared" si="38"/>
        <v>0</v>
      </c>
      <c r="H63" s="24">
        <f t="shared" si="38"/>
        <v>0</v>
      </c>
      <c r="I63" s="24">
        <f t="shared" si="38"/>
        <v>938550</v>
      </c>
      <c r="K63" s="5" t="s">
        <v>15</v>
      </c>
      <c r="L63" s="6">
        <f>SUM(L51:L62)</f>
        <v>1716</v>
      </c>
      <c r="M63" s="6">
        <f>SUM(M51:M62)</f>
        <v>16302</v>
      </c>
      <c r="N63" s="10" t="s">
        <v>56</v>
      </c>
      <c r="O63" s="6">
        <f t="shared" ref="O63:T63" si="39">SUM(O51:O62)</f>
        <v>1140050</v>
      </c>
      <c r="P63" s="6">
        <f t="shared" si="39"/>
        <v>703800</v>
      </c>
      <c r="Q63" s="6">
        <f t="shared" si="39"/>
        <v>0</v>
      </c>
      <c r="R63" s="6">
        <f t="shared" si="39"/>
        <v>0</v>
      </c>
      <c r="S63" s="6">
        <f t="shared" si="39"/>
        <v>0</v>
      </c>
      <c r="T63" s="6">
        <f t="shared" si="39"/>
        <v>1843850</v>
      </c>
      <c r="V63" s="5" t="s">
        <v>15</v>
      </c>
      <c r="W63" s="6">
        <f>SUM(W51:W62)</f>
        <v>1716</v>
      </c>
      <c r="X63" s="6">
        <f>SUM(X51:X62)</f>
        <v>11977.680000000002</v>
      </c>
      <c r="Y63" s="6">
        <f>SUM(Y51:Y62)</f>
        <v>2574000</v>
      </c>
    </row>
    <row r="65" spans="1:25" x14ac:dyDescent="0.2">
      <c r="A65" s="78" t="s">
        <v>42</v>
      </c>
      <c r="B65" s="78"/>
      <c r="C65" s="78"/>
      <c r="D65" s="78"/>
      <c r="E65" s="78"/>
      <c r="F65" s="78"/>
      <c r="G65" s="78"/>
      <c r="H65" s="78"/>
      <c r="I65" s="27"/>
      <c r="K65" s="78" t="s">
        <v>93</v>
      </c>
      <c r="L65" s="78"/>
      <c r="M65" s="78"/>
      <c r="N65" s="78"/>
      <c r="O65" s="78"/>
      <c r="P65" s="78"/>
      <c r="Q65" s="78"/>
      <c r="R65" s="78"/>
      <c r="S65" s="78"/>
    </row>
    <row r="66" spans="1:25" ht="15" customHeight="1" x14ac:dyDescent="0.2">
      <c r="K66" s="78" t="s">
        <v>94</v>
      </c>
      <c r="L66" s="78"/>
      <c r="M66" s="78"/>
      <c r="N66" s="78"/>
      <c r="O66" s="78"/>
      <c r="P66" s="78"/>
      <c r="Q66" s="78"/>
      <c r="R66" s="78"/>
      <c r="S66" s="78"/>
    </row>
    <row r="67" spans="1:25" ht="28" x14ac:dyDescent="0.2">
      <c r="A67" s="79">
        <v>2026</v>
      </c>
      <c r="B67" s="79"/>
      <c r="C67" s="79"/>
      <c r="D67" s="79"/>
      <c r="E67" s="79"/>
      <c r="F67" s="79"/>
      <c r="G67" s="79"/>
      <c r="H67" s="79"/>
      <c r="I67" s="79"/>
      <c r="J67" s="79"/>
      <c r="K67" s="79"/>
      <c r="L67" s="79"/>
      <c r="M67" s="79"/>
      <c r="N67" s="79"/>
      <c r="O67" s="79"/>
      <c r="P67" s="79"/>
      <c r="Q67" s="79"/>
      <c r="R67" s="79"/>
      <c r="S67" s="79"/>
      <c r="T67" s="79"/>
      <c r="U67" s="79"/>
      <c r="V67" s="79"/>
      <c r="W67" s="79"/>
      <c r="X67" s="79"/>
      <c r="Y67" s="79"/>
    </row>
    <row r="68" spans="1:25" x14ac:dyDescent="0.2">
      <c r="A68" s="85" t="s">
        <v>119</v>
      </c>
      <c r="B68" s="86"/>
      <c r="C68" s="86"/>
      <c r="D68" s="86"/>
      <c r="E68" s="86"/>
      <c r="F68" s="86"/>
    </row>
    <row r="69" spans="1:25" ht="15" customHeight="1" x14ac:dyDescent="0.2">
      <c r="A69" s="87"/>
      <c r="B69" s="88"/>
      <c r="C69" s="88"/>
      <c r="D69" s="88"/>
      <c r="E69" s="88"/>
      <c r="F69" s="88"/>
    </row>
    <row r="70" spans="1:25" ht="28" x14ac:dyDescent="0.2">
      <c r="A70" s="1" t="s">
        <v>32</v>
      </c>
      <c r="B70" s="1" t="s">
        <v>36</v>
      </c>
      <c r="C70" s="1" t="s">
        <v>37</v>
      </c>
      <c r="D70" s="1" t="s">
        <v>21</v>
      </c>
      <c r="E70" s="1" t="s">
        <v>22</v>
      </c>
      <c r="F70" s="1" t="s">
        <v>23</v>
      </c>
    </row>
    <row r="71" spans="1:25" x14ac:dyDescent="0.2">
      <c r="A71" s="8">
        <v>600</v>
      </c>
      <c r="B71" s="8">
        <v>800</v>
      </c>
      <c r="C71" s="8">
        <v>1000</v>
      </c>
      <c r="D71" s="8">
        <v>1500</v>
      </c>
      <c r="E71" s="8">
        <v>1750</v>
      </c>
      <c r="F71" s="8">
        <v>2000</v>
      </c>
    </row>
    <row r="73" spans="1:25" ht="28" x14ac:dyDescent="0.2">
      <c r="A73" s="26" t="s">
        <v>30</v>
      </c>
      <c r="B73" s="26"/>
      <c r="C73" s="26"/>
      <c r="D73" s="26"/>
      <c r="E73" s="26"/>
      <c r="F73" s="26"/>
      <c r="G73" s="26"/>
      <c r="H73" s="26"/>
      <c r="I73" s="26"/>
    </row>
    <row r="74" spans="1:25" ht="15" customHeight="1" x14ac:dyDescent="0.2">
      <c r="A74" s="1" t="s">
        <v>0</v>
      </c>
      <c r="B74" s="1" t="s">
        <v>31</v>
      </c>
      <c r="C74" s="1" t="s">
        <v>32</v>
      </c>
      <c r="D74" s="1" t="s">
        <v>36</v>
      </c>
      <c r="E74" s="1" t="s">
        <v>37</v>
      </c>
      <c r="F74" s="1" t="s">
        <v>21</v>
      </c>
      <c r="G74" s="1" t="s">
        <v>22</v>
      </c>
      <c r="H74" s="1" t="s">
        <v>23</v>
      </c>
      <c r="I74" s="1" t="s">
        <v>33</v>
      </c>
    </row>
    <row r="75" spans="1:25" ht="16" thickBot="1" x14ac:dyDescent="0.25">
      <c r="A75" s="2" t="s">
        <v>3</v>
      </c>
      <c r="B75" s="58">
        <f>Main!G2</f>
        <v>127</v>
      </c>
      <c r="C75" s="4">
        <f t="shared" ref="C75:C86" si="40">MIN(B75,200)*600</f>
        <v>76200</v>
      </c>
      <c r="D75" s="4">
        <f t="shared" ref="D75:D86" si="41">MAX(MIN(B75,500)-200,0)*800</f>
        <v>0</v>
      </c>
      <c r="E75" s="4">
        <f t="shared" ref="E75:E86" si="42">MAX(MIN(B75,1000)-500,0)*1000</f>
        <v>0</v>
      </c>
      <c r="F75" s="4">
        <f t="shared" ref="F75:F86" si="43">MAX(MIN(B75,5000)-1000,0)*1500</f>
        <v>0</v>
      </c>
      <c r="G75" s="4">
        <f t="shared" ref="G75:G86" si="44">MAX(MIN(B75,10000)-5000,0)*1750</f>
        <v>0</v>
      </c>
      <c r="H75" s="4">
        <f t="shared" ref="H75:H86" si="45">MAX(B75-10000,0)*2000</f>
        <v>0</v>
      </c>
      <c r="I75" s="4">
        <f t="shared" ref="I75:I86" si="46">SUM(C75:H75)</f>
        <v>76200</v>
      </c>
    </row>
    <row r="76" spans="1:25" ht="16" thickBot="1" x14ac:dyDescent="0.25">
      <c r="A76" s="2" t="s">
        <v>4</v>
      </c>
      <c r="B76" s="58">
        <f>Main!G3</f>
        <v>130</v>
      </c>
      <c r="C76" s="4">
        <f t="shared" si="40"/>
        <v>78000</v>
      </c>
      <c r="D76" s="4">
        <f t="shared" si="41"/>
        <v>0</v>
      </c>
      <c r="E76" s="4">
        <f t="shared" si="42"/>
        <v>0</v>
      </c>
      <c r="F76" s="4">
        <f t="shared" si="43"/>
        <v>0</v>
      </c>
      <c r="G76" s="4">
        <f t="shared" si="44"/>
        <v>0</v>
      </c>
      <c r="H76" s="4">
        <f t="shared" si="45"/>
        <v>0</v>
      </c>
      <c r="I76" s="4">
        <f t="shared" si="46"/>
        <v>78000</v>
      </c>
    </row>
    <row r="77" spans="1:25" ht="16" thickBot="1" x14ac:dyDescent="0.25">
      <c r="A77" s="2" t="s">
        <v>5</v>
      </c>
      <c r="B77" s="58">
        <f>Main!G4</f>
        <v>159</v>
      </c>
      <c r="C77" s="4">
        <f t="shared" si="40"/>
        <v>95400</v>
      </c>
      <c r="D77" s="4">
        <f t="shared" si="41"/>
        <v>0</v>
      </c>
      <c r="E77" s="4">
        <f t="shared" si="42"/>
        <v>0</v>
      </c>
      <c r="F77" s="4">
        <f t="shared" si="43"/>
        <v>0</v>
      </c>
      <c r="G77" s="4">
        <f t="shared" si="44"/>
        <v>0</v>
      </c>
      <c r="H77" s="4">
        <f t="shared" si="45"/>
        <v>0</v>
      </c>
      <c r="I77" s="4">
        <f t="shared" si="46"/>
        <v>95400</v>
      </c>
    </row>
    <row r="78" spans="1:25" ht="16" thickBot="1" x14ac:dyDescent="0.25">
      <c r="A78" s="2" t="s">
        <v>6</v>
      </c>
      <c r="B78" s="58">
        <f>Main!G5</f>
        <v>191</v>
      </c>
      <c r="C78" s="4">
        <f t="shared" si="40"/>
        <v>114600</v>
      </c>
      <c r="D78" s="4">
        <f t="shared" si="41"/>
        <v>0</v>
      </c>
      <c r="E78" s="4">
        <f t="shared" si="42"/>
        <v>0</v>
      </c>
      <c r="F78" s="4">
        <f t="shared" si="43"/>
        <v>0</v>
      </c>
      <c r="G78" s="4">
        <f t="shared" si="44"/>
        <v>0</v>
      </c>
      <c r="H78" s="4">
        <f t="shared" si="45"/>
        <v>0</v>
      </c>
      <c r="I78" s="4">
        <f t="shared" si="46"/>
        <v>114600</v>
      </c>
    </row>
    <row r="79" spans="1:25" ht="16" thickBot="1" x14ac:dyDescent="0.25">
      <c r="A79" s="2" t="s">
        <v>7</v>
      </c>
      <c r="B79" s="58">
        <f>Main!G6</f>
        <v>180</v>
      </c>
      <c r="C79" s="4">
        <f t="shared" si="40"/>
        <v>108000</v>
      </c>
      <c r="D79" s="4">
        <f t="shared" si="41"/>
        <v>0</v>
      </c>
      <c r="E79" s="4">
        <f t="shared" si="42"/>
        <v>0</v>
      </c>
      <c r="F79" s="4">
        <f t="shared" si="43"/>
        <v>0</v>
      </c>
      <c r="G79" s="4">
        <f t="shared" si="44"/>
        <v>0</v>
      </c>
      <c r="H79" s="4">
        <f t="shared" si="45"/>
        <v>0</v>
      </c>
      <c r="I79" s="4">
        <f t="shared" si="46"/>
        <v>108000</v>
      </c>
    </row>
    <row r="80" spans="1:25" ht="16" thickBot="1" x14ac:dyDescent="0.25">
      <c r="A80" s="2" t="s">
        <v>8</v>
      </c>
      <c r="B80" s="58">
        <f>Main!G7</f>
        <v>176</v>
      </c>
      <c r="C80" s="4">
        <f t="shared" si="40"/>
        <v>105600</v>
      </c>
      <c r="D80" s="4">
        <f t="shared" si="41"/>
        <v>0</v>
      </c>
      <c r="E80" s="4">
        <f t="shared" si="42"/>
        <v>0</v>
      </c>
      <c r="F80" s="4">
        <f t="shared" si="43"/>
        <v>0</v>
      </c>
      <c r="G80" s="4">
        <f t="shared" si="44"/>
        <v>0</v>
      </c>
      <c r="H80" s="4">
        <f t="shared" si="45"/>
        <v>0</v>
      </c>
      <c r="I80" s="4">
        <f t="shared" si="46"/>
        <v>105600</v>
      </c>
    </row>
    <row r="81" spans="1:25" ht="16" thickBot="1" x14ac:dyDescent="0.25">
      <c r="A81" s="2" t="s">
        <v>9</v>
      </c>
      <c r="B81" s="58">
        <f>Main!G8</f>
        <v>179</v>
      </c>
      <c r="C81" s="4">
        <f t="shared" si="40"/>
        <v>107400</v>
      </c>
      <c r="D81" s="4">
        <f t="shared" si="41"/>
        <v>0</v>
      </c>
      <c r="E81" s="4">
        <f t="shared" si="42"/>
        <v>0</v>
      </c>
      <c r="F81" s="4">
        <f t="shared" si="43"/>
        <v>0</v>
      </c>
      <c r="G81" s="4">
        <f t="shared" si="44"/>
        <v>0</v>
      </c>
      <c r="H81" s="4">
        <f t="shared" si="45"/>
        <v>0</v>
      </c>
      <c r="I81" s="4">
        <f t="shared" si="46"/>
        <v>107400</v>
      </c>
    </row>
    <row r="82" spans="1:25" ht="16" thickBot="1" x14ac:dyDescent="0.25">
      <c r="A82" s="2" t="s">
        <v>10</v>
      </c>
      <c r="B82" s="58">
        <f>Main!G9</f>
        <v>74</v>
      </c>
      <c r="C82" s="4">
        <f t="shared" si="40"/>
        <v>44400</v>
      </c>
      <c r="D82" s="4">
        <f t="shared" si="41"/>
        <v>0</v>
      </c>
      <c r="E82" s="4">
        <f t="shared" si="42"/>
        <v>0</v>
      </c>
      <c r="F82" s="4">
        <f t="shared" si="43"/>
        <v>0</v>
      </c>
      <c r="G82" s="4">
        <f t="shared" si="44"/>
        <v>0</v>
      </c>
      <c r="H82" s="4">
        <f t="shared" si="45"/>
        <v>0</v>
      </c>
      <c r="I82" s="4">
        <f t="shared" si="46"/>
        <v>44400</v>
      </c>
    </row>
    <row r="83" spans="1:25" ht="16" thickBot="1" x14ac:dyDescent="0.25">
      <c r="A83" s="2" t="s">
        <v>11</v>
      </c>
      <c r="B83" s="58">
        <f>Main!G10</f>
        <v>99</v>
      </c>
      <c r="C83" s="4">
        <f t="shared" si="40"/>
        <v>59400</v>
      </c>
      <c r="D83" s="4">
        <f t="shared" si="41"/>
        <v>0</v>
      </c>
      <c r="E83" s="4">
        <f t="shared" si="42"/>
        <v>0</v>
      </c>
      <c r="F83" s="4">
        <f t="shared" si="43"/>
        <v>0</v>
      </c>
      <c r="G83" s="4">
        <f t="shared" si="44"/>
        <v>0</v>
      </c>
      <c r="H83" s="4">
        <f t="shared" si="45"/>
        <v>0</v>
      </c>
      <c r="I83" s="4">
        <f t="shared" si="46"/>
        <v>59400</v>
      </c>
    </row>
    <row r="84" spans="1:25" ht="16" thickBot="1" x14ac:dyDescent="0.25">
      <c r="A84" s="2" t="s">
        <v>12</v>
      </c>
      <c r="B84" s="58">
        <f>Main!G11</f>
        <v>131</v>
      </c>
      <c r="C84" s="4">
        <f t="shared" si="40"/>
        <v>78600</v>
      </c>
      <c r="D84" s="4">
        <f t="shared" si="41"/>
        <v>0</v>
      </c>
      <c r="E84" s="4">
        <f t="shared" si="42"/>
        <v>0</v>
      </c>
      <c r="F84" s="4">
        <f t="shared" si="43"/>
        <v>0</v>
      </c>
      <c r="G84" s="4">
        <f t="shared" si="44"/>
        <v>0</v>
      </c>
      <c r="H84" s="4">
        <f t="shared" si="45"/>
        <v>0</v>
      </c>
      <c r="I84" s="4">
        <f t="shared" si="46"/>
        <v>78600</v>
      </c>
    </row>
    <row r="85" spans="1:25" ht="16" thickBot="1" x14ac:dyDescent="0.25">
      <c r="A85" s="2" t="s">
        <v>13</v>
      </c>
      <c r="B85" s="58">
        <f>Main!G12</f>
        <v>126</v>
      </c>
      <c r="C85" s="4">
        <f t="shared" si="40"/>
        <v>75600</v>
      </c>
      <c r="D85" s="4">
        <f t="shared" si="41"/>
        <v>0</v>
      </c>
      <c r="E85" s="4">
        <f t="shared" si="42"/>
        <v>0</v>
      </c>
      <c r="F85" s="4">
        <f t="shared" si="43"/>
        <v>0</v>
      </c>
      <c r="G85" s="4">
        <f t="shared" si="44"/>
        <v>0</v>
      </c>
      <c r="H85" s="4">
        <f t="shared" si="45"/>
        <v>0</v>
      </c>
      <c r="I85" s="4">
        <f t="shared" si="46"/>
        <v>75600</v>
      </c>
    </row>
    <row r="86" spans="1:25" ht="16" thickBot="1" x14ac:dyDescent="0.25">
      <c r="A86" s="2" t="s">
        <v>14</v>
      </c>
      <c r="B86" s="58">
        <f>Main!G13</f>
        <v>144</v>
      </c>
      <c r="C86" s="4">
        <f t="shared" si="40"/>
        <v>86400</v>
      </c>
      <c r="D86" s="4">
        <f t="shared" si="41"/>
        <v>0</v>
      </c>
      <c r="E86" s="4">
        <f t="shared" si="42"/>
        <v>0</v>
      </c>
      <c r="F86" s="4">
        <f t="shared" si="43"/>
        <v>0</v>
      </c>
      <c r="G86" s="4">
        <f t="shared" si="44"/>
        <v>0</v>
      </c>
      <c r="H86" s="4">
        <f t="shared" si="45"/>
        <v>0</v>
      </c>
      <c r="I86" s="4">
        <f t="shared" si="46"/>
        <v>86400</v>
      </c>
    </row>
    <row r="87" spans="1:25" x14ac:dyDescent="0.2">
      <c r="A87" s="5" t="s">
        <v>15</v>
      </c>
      <c r="B87" s="6">
        <f t="shared" ref="B87:I87" si="47">SUM(B75:B86)</f>
        <v>1716</v>
      </c>
      <c r="C87" s="6">
        <f t="shared" si="47"/>
        <v>1029600</v>
      </c>
      <c r="D87" s="6">
        <f t="shared" si="47"/>
        <v>0</v>
      </c>
      <c r="E87" s="6">
        <f t="shared" si="47"/>
        <v>0</v>
      </c>
      <c r="F87" s="6">
        <f t="shared" si="47"/>
        <v>0</v>
      </c>
      <c r="G87" s="6">
        <f t="shared" si="47"/>
        <v>0</v>
      </c>
      <c r="H87" s="6">
        <f t="shared" si="47"/>
        <v>0</v>
      </c>
      <c r="I87" s="6">
        <f t="shared" si="47"/>
        <v>1029600</v>
      </c>
    </row>
    <row r="89" spans="1:25" x14ac:dyDescent="0.2">
      <c r="A89" s="78" t="s">
        <v>42</v>
      </c>
      <c r="B89" s="78"/>
      <c r="C89" s="78"/>
      <c r="D89" s="78"/>
      <c r="E89" s="78"/>
      <c r="F89" s="78"/>
      <c r="G89" s="78"/>
      <c r="H89" s="78"/>
      <c r="I89" s="27"/>
    </row>
    <row r="90" spans="1:25" ht="15" customHeight="1" x14ac:dyDescent="0.2">
      <c r="A90" s="79" t="s">
        <v>186</v>
      </c>
      <c r="B90" s="79"/>
      <c r="C90" s="79"/>
      <c r="D90" s="79"/>
      <c r="E90" s="79"/>
      <c r="F90" s="79"/>
      <c r="G90" s="79"/>
      <c r="H90" s="79"/>
      <c r="I90" s="79"/>
      <c r="J90" s="79"/>
      <c r="K90" s="79"/>
      <c r="L90" s="79"/>
      <c r="M90" s="79"/>
      <c r="N90" s="79"/>
      <c r="O90" s="79"/>
      <c r="P90" s="79"/>
      <c r="Q90" s="79"/>
      <c r="R90" s="79"/>
      <c r="S90" s="79"/>
      <c r="T90" s="79"/>
      <c r="U90" s="79"/>
      <c r="V90" s="79"/>
      <c r="W90" s="79"/>
      <c r="X90" s="79"/>
      <c r="Y90" s="79"/>
    </row>
  </sheetData>
  <mergeCells count="28">
    <mergeCell ref="A2:C2"/>
    <mergeCell ref="K65:S65"/>
    <mergeCell ref="K18:S18"/>
    <mergeCell ref="K19:S19"/>
    <mergeCell ref="K40:S40"/>
    <mergeCell ref="K41:S41"/>
    <mergeCell ref="K24:T24"/>
    <mergeCell ref="V49:Y49"/>
    <mergeCell ref="K49:T49"/>
    <mergeCell ref="A44:H44"/>
    <mergeCell ref="K43:S43"/>
    <mergeCell ref="K44:S44"/>
    <mergeCell ref="A89:H89"/>
    <mergeCell ref="A90:Y90"/>
    <mergeCell ref="A1:Y1"/>
    <mergeCell ref="A17:Y17"/>
    <mergeCell ref="A42:Y42"/>
    <mergeCell ref="A67:Y67"/>
    <mergeCell ref="A65:H65"/>
    <mergeCell ref="E2:H2"/>
    <mergeCell ref="A18:H18"/>
    <mergeCell ref="A19:H19"/>
    <mergeCell ref="A24:H24"/>
    <mergeCell ref="A40:H40"/>
    <mergeCell ref="K66:S66"/>
    <mergeCell ref="A68:F69"/>
    <mergeCell ref="V2:Y2"/>
    <mergeCell ref="V24:Y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Main</vt:lpstr>
      <vt:lpstr>Area_calc</vt:lpstr>
      <vt:lpstr>Energy_calc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Kamoliddin Rasulov</cp:lastModifiedBy>
  <dcterms:created xsi:type="dcterms:W3CDTF">2026-04-09T12:21:36Z</dcterms:created>
  <dcterms:modified xsi:type="dcterms:W3CDTF">2026-04-19T13:09:08Z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2026-04-04T17:17:37Z</dcterms:created>
  <dc:creator>openpyxl</dc:creator>
  <dc:description/>
  <dc:language>en-US</dc:language>
  <cp:lastModifiedBy>Kamoliddin Rasulov</cp:lastModifiedBy>
  <dcterms:modified xsi:type="dcterms:W3CDTF">2026-04-04T18:37:17Z</dcterms:modified>
  <cp:revision>0</cp:revision>
  <dc:subject/>
  <dc:title/>
</cp:coreProperties>
</file>